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121</v>
      </c>
      <c r="C3" t="n">
        <v>115</v>
      </c>
      <c r="D3" t="inlineStr">
        <is>
          <t>0.587</t>
        </is>
      </c>
    </row>
    <row r="4">
      <c r="A4" t="inlineStr">
        <is>
          <t xml:space="preserve">  1.0</t>
        </is>
      </c>
      <c r="B4" t="n">
        <v>124</v>
      </c>
      <c r="C4" t="n">
        <v>130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127</v>
      </c>
      <c r="C6" t="n">
        <v>139</v>
      </c>
      <c r="D6" t="inlineStr">
        <is>
          <t>0.277</t>
        </is>
      </c>
    </row>
    <row r="7">
      <c r="A7" t="inlineStr">
        <is>
          <t xml:space="preserve">  MALE</t>
        </is>
      </c>
      <c r="B7" t="n">
        <v>118</v>
      </c>
      <c r="C7" t="n">
        <v>106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116</v>
      </c>
      <c r="C9" t="n">
        <v>146</v>
      </c>
      <c r="D9" t="inlineStr">
        <is>
          <t>0.036</t>
        </is>
      </c>
    </row>
    <row r="10">
      <c r="A10" t="inlineStr">
        <is>
          <t xml:space="preserve">  2.0</t>
        </is>
      </c>
      <c r="B10" t="n">
        <v>65</v>
      </c>
      <c r="C10" t="n">
        <v>52</v>
      </c>
      <c r="D10" t="inlineStr"/>
    </row>
    <row r="11">
      <c r="A11" t="inlineStr">
        <is>
          <t xml:space="preserve">  3.0</t>
        </is>
      </c>
      <c r="B11" t="n">
        <v>44</v>
      </c>
      <c r="C11" t="n">
        <v>35</v>
      </c>
      <c r="D11" t="inlineStr"/>
    </row>
    <row r="12">
      <c r="A12" t="inlineStr">
        <is>
          <t xml:space="preserve">  4.0</t>
        </is>
      </c>
      <c r="B12" t="n">
        <v>16</v>
      </c>
      <c r="C12" t="n">
        <v>8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161</v>
      </c>
      <c r="C14" t="n">
        <v>161</v>
      </c>
      <c r="D14" t="inlineStr">
        <is>
          <t>0.115</t>
        </is>
      </c>
    </row>
    <row r="15">
      <c r="A15" t="inlineStr">
        <is>
          <t xml:space="preserve">  1.0</t>
        </is>
      </c>
      <c r="B15" t="n">
        <v>16</v>
      </c>
      <c r="C15" t="n">
        <v>8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146</v>
      </c>
      <c r="C17" t="n">
        <v>170</v>
      </c>
      <c r="D17" t="inlineStr">
        <is>
          <t>0.094</t>
        </is>
      </c>
    </row>
    <row r="18">
      <c r="A18" t="inlineStr">
        <is>
          <t xml:space="preserve">  1.0</t>
        </is>
      </c>
      <c r="B18" t="n">
        <v>55</v>
      </c>
      <c r="C18" t="n">
        <v>38</v>
      </c>
      <c r="D18" t="inlineStr"/>
    </row>
    <row r="19">
      <c r="A19" t="inlineStr">
        <is>
          <t xml:space="preserve">  2.0</t>
        </is>
      </c>
      <c r="B19" t="n">
        <v>39</v>
      </c>
      <c r="C19" t="n">
        <v>29</v>
      </c>
      <c r="D19" t="inlineStr"/>
    </row>
    <row r="20">
      <c r="A20" t="inlineStr">
        <is>
          <t xml:space="preserve">  3.0</t>
        </is>
      </c>
      <c r="B20" t="n">
        <v>1</v>
      </c>
      <c r="C20" t="n">
        <v>1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68</v>
      </c>
      <c r="C22" t="n">
        <v>96</v>
      </c>
      <c r="D22" t="inlineStr">
        <is>
          <t>0.060</t>
        </is>
      </c>
    </row>
    <row r="23">
      <c r="A23" t="inlineStr">
        <is>
          <t xml:space="preserve">  2.0</t>
        </is>
      </c>
      <c r="B23" t="n">
        <v>140</v>
      </c>
      <c r="C23" t="n">
        <v>120</v>
      </c>
      <c r="D23" t="inlineStr"/>
    </row>
    <row r="24">
      <c r="A24" t="inlineStr">
        <is>
          <t xml:space="preserve">  3.0</t>
        </is>
      </c>
      <c r="B24" t="n">
        <v>26</v>
      </c>
      <c r="C24" t="n">
        <v>19</v>
      </c>
      <c r="D24" t="inlineStr"/>
    </row>
    <row r="25">
      <c r="A25" t="inlineStr">
        <is>
          <t xml:space="preserve">  4.0</t>
        </is>
      </c>
      <c r="B25" t="n">
        <v>9</v>
      </c>
      <c r="C25" t="n">
        <v>9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74</v>
      </c>
      <c r="C27" t="n">
        <v>85</v>
      </c>
      <c r="D27" t="inlineStr">
        <is>
          <t>0.289</t>
        </is>
      </c>
    </row>
    <row r="28">
      <c r="A28" t="inlineStr">
        <is>
          <t xml:space="preserve">  1.0</t>
        </is>
      </c>
      <c r="B28" t="n">
        <v>172</v>
      </c>
      <c r="C28" t="n">
        <v>161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EGFRExpression</t>
        </is>
      </c>
    </row>
    <row r="2">
      <c r="A2" t="inlineStr">
        <is>
          <t>SignatureScore</t>
        </is>
      </c>
      <c r="B2" t="inlineStr">
        <is>
          <t>R</t>
        </is>
      </c>
      <c r="C2" t="inlineStr">
        <is>
          <t>1</t>
        </is>
      </c>
      <c r="D2" t="inlineStr">
        <is>
          <t>0.058</t>
        </is>
      </c>
      <c r="E2" t="inlineStr">
        <is>
          <t>-0.056</t>
        </is>
      </c>
      <c r="F2" t="inlineStr">
        <is>
          <t>0.060</t>
        </is>
      </c>
      <c r="G2" t="inlineStr">
        <is>
          <t>-0.143</t>
        </is>
      </c>
      <c r="H2" t="inlineStr">
        <is>
          <t>-0.091</t>
        </is>
      </c>
      <c r="I2" t="inlineStr">
        <is>
          <t>-0.078</t>
        </is>
      </c>
      <c r="J2" t="inlineStr">
        <is>
          <t>0.163</t>
        </is>
      </c>
    </row>
    <row r="3">
      <c r="A3" t="inlineStr"/>
      <c r="B3" t="inlineStr">
        <is>
          <t>P-value</t>
        </is>
      </c>
      <c r="C3" t="inlineStr"/>
      <c r="D3" t="inlineStr">
        <is>
          <t>0.291</t>
        </is>
      </c>
      <c r="E3" t="inlineStr">
        <is>
          <t>0.220</t>
        </is>
      </c>
      <c r="F3" t="inlineStr">
        <is>
          <t>0.185</t>
        </is>
      </c>
      <c r="G3" t="inlineStr">
        <is>
          <t>0.001</t>
        </is>
      </c>
      <c r="H3" t="inlineStr">
        <is>
          <t>0.043</t>
        </is>
      </c>
      <c r="I3" t="inlineStr">
        <is>
          <t>0.083</t>
        </is>
      </c>
      <c r="J3" t="inlineStr">
        <is>
          <t>&lt;0.001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0.058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0.011</t>
        </is>
      </c>
    </row>
    <row r="5">
      <c r="A5" t="inlineStr"/>
      <c r="B5" t="inlineStr">
        <is>
          <t>P-value</t>
        </is>
      </c>
      <c r="C5" t="inlineStr">
        <is>
          <t>0.291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0.837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-0.056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-0.001</t>
        </is>
      </c>
    </row>
    <row r="7">
      <c r="A7" t="inlineStr"/>
      <c r="B7" t="inlineStr">
        <is>
          <t>P-value</t>
        </is>
      </c>
      <c r="C7" t="inlineStr">
        <is>
          <t>0.220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0.983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0.060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0.011</t>
        </is>
      </c>
    </row>
    <row r="9">
      <c r="A9" t="inlineStr"/>
      <c r="B9" t="inlineStr">
        <is>
          <t>P-value</t>
        </is>
      </c>
      <c r="C9" t="inlineStr">
        <is>
          <t>0.185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0.810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-0.143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-0.123</t>
        </is>
      </c>
    </row>
    <row r="11">
      <c r="A11" t="inlineStr"/>
      <c r="B11" t="inlineStr">
        <is>
          <t>P-value</t>
        </is>
      </c>
      <c r="C11" t="inlineStr">
        <is>
          <t>0.001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0.007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-0.091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-0.024</t>
        </is>
      </c>
    </row>
    <row r="13">
      <c r="A13" t="inlineStr"/>
      <c r="B13" t="inlineStr">
        <is>
          <t>P-value</t>
        </is>
      </c>
      <c r="C13" t="inlineStr">
        <is>
          <t>0.043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0.595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-0.078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0.061</t>
        </is>
      </c>
    </row>
    <row r="15">
      <c r="A15" t="inlineStr"/>
      <c r="B15" t="inlineStr">
        <is>
          <t>P-value</t>
        </is>
      </c>
      <c r="C15" t="inlineStr">
        <is>
          <t>0.083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0.177</t>
        </is>
      </c>
    </row>
    <row r="16">
      <c r="A16" t="inlineStr">
        <is>
          <t>EGFRExpression</t>
        </is>
      </c>
      <c r="B16" t="inlineStr">
        <is>
          <t>R</t>
        </is>
      </c>
      <c r="C16" t="inlineStr">
        <is>
          <t>0.163</t>
        </is>
      </c>
      <c r="D16" t="inlineStr">
        <is>
          <t>0.011</t>
        </is>
      </c>
      <c r="E16" t="inlineStr">
        <is>
          <t>-0.001</t>
        </is>
      </c>
      <c r="F16" t="inlineStr">
        <is>
          <t>0.011</t>
        </is>
      </c>
      <c r="G16" t="inlineStr">
        <is>
          <t>-0.123</t>
        </is>
      </c>
      <c r="H16" t="inlineStr">
        <is>
          <t>-0.024</t>
        </is>
      </c>
      <c r="I16" t="inlineStr">
        <is>
          <t>0.061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&lt;0.001</t>
        </is>
      </c>
      <c r="D17" t="inlineStr">
        <is>
          <t>0.837</t>
        </is>
      </c>
      <c r="E17" t="inlineStr">
        <is>
          <t>0.983</t>
        </is>
      </c>
      <c r="F17" t="inlineStr">
        <is>
          <t>0.810</t>
        </is>
      </c>
      <c r="G17" t="inlineStr">
        <is>
          <t>0.007</t>
        </is>
      </c>
      <c r="H17" t="inlineStr">
        <is>
          <t>0.595</t>
        </is>
      </c>
      <c r="I17" t="inlineStr">
        <is>
          <t>0.177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1.012</v>
      </c>
      <c r="C2" t="n">
        <v>0.992</v>
      </c>
      <c r="D2" t="n">
        <v>1.033</v>
      </c>
      <c r="E2" t="inlineStr">
        <is>
          <t>0.228</t>
        </is>
      </c>
    </row>
    <row r="3">
      <c r="A3" t="inlineStr">
        <is>
          <t>number_pack_years_smoked</t>
        </is>
      </c>
      <c r="B3" t="n">
        <v>0.999</v>
      </c>
      <c r="C3" t="n">
        <v>0.992</v>
      </c>
      <c r="D3" t="n">
        <v>1.007</v>
      </c>
      <c r="E3" t="inlineStr">
        <is>
          <t>0.834</t>
        </is>
      </c>
    </row>
    <row r="4">
      <c r="A4" t="inlineStr">
        <is>
          <t>KrasExpression</t>
        </is>
      </c>
      <c r="B4" t="n">
        <v>1</v>
      </c>
      <c r="C4" t="n">
        <v>1</v>
      </c>
      <c r="D4" t="n">
        <v>1</v>
      </c>
      <c r="E4" t="inlineStr">
        <is>
          <t>0.069</t>
        </is>
      </c>
    </row>
    <row r="5">
      <c r="A5" t="inlineStr">
        <is>
          <t>TP53Expression</t>
        </is>
      </c>
      <c r="B5" t="n">
        <v>1</v>
      </c>
      <c r="C5" t="n">
        <v>1</v>
      </c>
      <c r="D5" t="n">
        <v>1</v>
      </c>
      <c r="E5" t="inlineStr">
        <is>
          <t>0.949</t>
        </is>
      </c>
    </row>
    <row r="6">
      <c r="A6" t="inlineStr">
        <is>
          <t>ALKExpression</t>
        </is>
      </c>
      <c r="B6" t="n">
        <v>0.994</v>
      </c>
      <c r="C6" t="n">
        <v>0.983</v>
      </c>
      <c r="D6" t="n">
        <v>1.005</v>
      </c>
      <c r="E6" t="inlineStr">
        <is>
          <t>0.255</t>
        </is>
      </c>
    </row>
    <row r="7">
      <c r="A7" t="inlineStr">
        <is>
          <t>BRAFExpression</t>
        </is>
      </c>
      <c r="B7" t="n">
        <v>0.998</v>
      </c>
      <c r="C7" t="n">
        <v>0.996</v>
      </c>
      <c r="D7" t="n">
        <v>1.001</v>
      </c>
      <c r="E7" t="inlineStr">
        <is>
          <t>0.133</t>
        </is>
      </c>
    </row>
    <row r="8">
      <c r="A8" t="inlineStr">
        <is>
          <t>EGFRExpression</t>
        </is>
      </c>
      <c r="B8" t="n">
        <v>1</v>
      </c>
      <c r="C8" t="n">
        <v>1</v>
      </c>
      <c r="D8" t="n">
        <v>1</v>
      </c>
      <c r="E8" t="inlineStr">
        <is>
          <t>0.028</t>
        </is>
      </c>
    </row>
    <row r="9">
      <c r="A9" t="inlineStr">
        <is>
          <t>SignatureGroup_Low</t>
        </is>
      </c>
      <c r="B9" t="n">
        <v>0.604</v>
      </c>
      <c r="C9" t="n">
        <v>0.405</v>
      </c>
      <c r="D9" t="n">
        <v>0.903</v>
      </c>
      <c r="E9" t="inlineStr">
        <is>
          <t>0.014</t>
        </is>
      </c>
    </row>
    <row r="10">
      <c r="A10" t="inlineStr">
        <is>
          <t>gender_MALE</t>
        </is>
      </c>
      <c r="B10" t="n">
        <v>1.462</v>
      </c>
      <c r="C10" t="n">
        <v>0.981</v>
      </c>
      <c r="D10" t="n">
        <v>2.178</v>
      </c>
      <c r="E10" t="inlineStr">
        <is>
          <t>0.062</t>
        </is>
      </c>
    </row>
    <row r="11">
      <c r="A11" t="inlineStr">
        <is>
          <t>pathologic_stage_2.0</t>
        </is>
      </c>
      <c r="B11" t="n">
        <v>2.021</v>
      </c>
      <c r="C11" t="n">
        <v>1.266</v>
      </c>
      <c r="D11" t="n">
        <v>3.226</v>
      </c>
      <c r="E11" t="inlineStr">
        <is>
          <t>0.003</t>
        </is>
      </c>
    </row>
    <row r="12">
      <c r="A12" t="inlineStr">
        <is>
          <t>pathologic_stage_3.0</t>
        </is>
      </c>
      <c r="B12" t="n">
        <v>2.667</v>
      </c>
      <c r="C12" t="n">
        <v>1.654</v>
      </c>
      <c r="D12" t="n">
        <v>4.301</v>
      </c>
      <c r="E12" t="inlineStr">
        <is>
          <t>&lt;0.001</t>
        </is>
      </c>
    </row>
    <row r="13">
      <c r="A13" t="inlineStr">
        <is>
          <t>pathologic_stage_4.0</t>
        </is>
      </c>
      <c r="B13" t="n">
        <v>2.16</v>
      </c>
      <c r="C13" t="n">
        <v>1.04</v>
      </c>
      <c r="D13" t="n">
        <v>4.484</v>
      </c>
      <c r="E13" t="inlineStr">
        <is>
          <t>0.039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 ~ age_at_initial_pathologic_diagnosis + number_pack_years_smoked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0.0063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5.5843e-01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0.1535</v>
      </c>
      <c r="C8" t="n">
        <v>-0.334</v>
      </c>
      <c r="D8" t="n">
        <v>0.6411</v>
      </c>
      <c r="E8" t="inlineStr">
        <is>
          <t>0.536</t>
        </is>
      </c>
    </row>
    <row r="9">
      <c r="A9" t="inlineStr">
        <is>
          <t>C(gender)[T.MALE]</t>
        </is>
      </c>
      <c r="B9" t="n">
        <v>0.0403</v>
      </c>
      <c r="C9" t="n">
        <v>-0.1095</v>
      </c>
      <c r="D9" t="n">
        <v>0.1902</v>
      </c>
      <c r="E9" t="inlineStr">
        <is>
          <t>0.597</t>
        </is>
      </c>
    </row>
    <row r="10">
      <c r="A10" t="inlineStr">
        <is>
          <t>age_at_initial_pathologic_diagnosis</t>
        </is>
      </c>
      <c r="B10" t="n">
        <v>-0.0031</v>
      </c>
      <c r="C10" t="n">
        <v>-0.0105</v>
      </c>
      <c r="D10" t="n">
        <v>0.0042</v>
      </c>
      <c r="E10" t="inlineStr">
        <is>
          <t>0.399</t>
        </is>
      </c>
    </row>
    <row r="11">
      <c r="A11" t="inlineStr">
        <is>
          <t>number_pack_years_smoked</t>
        </is>
      </c>
      <c r="B11" t="n">
        <v>0.0014</v>
      </c>
      <c r="C11" t="n">
        <v>-0.0014</v>
      </c>
      <c r="D11" t="n">
        <v>0.0041</v>
      </c>
      <c r="E11" t="inlineStr">
        <is>
          <t>0.329</t>
        </is>
      </c>
    </row>
    <row r="12">
      <c r="A12" t="inlineStr"/>
      <c r="B12" t="inlineStr"/>
      <c r="C12" t="inlineStr"/>
      <c r="D12" t="inlineStr"/>
      <c r="E12" t="inlineStr"/>
    </row>
    <row r="13">
      <c r="A13">
        <f>== [ Model: Base + Pathologic Stage ] ===</f>
        <v/>
      </c>
      <c r="B13" t="inlineStr"/>
      <c r="C13" t="inlineStr"/>
      <c r="D13" t="inlineStr"/>
      <c r="E13" t="inlineStr"/>
    </row>
    <row r="14">
      <c r="A14" t="inlineStr">
        <is>
          <t>Dependent Variable (Y)</t>
        </is>
      </c>
      <c r="B14" t="inlineStr">
        <is>
          <t>SignatureScore</t>
        </is>
      </c>
      <c r="C14" t="inlineStr"/>
      <c r="D14" t="inlineStr"/>
      <c r="E14" t="inlineStr"/>
    </row>
    <row r="15">
      <c r="A15" t="inlineStr">
        <is>
          <t>Model Formula</t>
        </is>
      </c>
      <c r="B15" t="inlineStr">
        <is>
          <t>SignatureScore ~ age_at_initial_pathologic_diagnosis + number_pack_years_smoked + C(gender) + C(pathologic_stage)</t>
        </is>
      </c>
      <c r="C15" t="inlineStr"/>
      <c r="D15" t="inlineStr"/>
      <c r="E15" t="inlineStr"/>
    </row>
    <row r="16">
      <c r="A16" t="inlineStr">
        <is>
          <t>R-squared</t>
        </is>
      </c>
      <c r="B16" t="inlineStr">
        <is>
          <t>0.0304</t>
        </is>
      </c>
      <c r="C16" t="inlineStr"/>
      <c r="D16" t="inlineStr"/>
      <c r="E16" t="inlineStr"/>
    </row>
    <row r="17">
      <c r="A17" t="inlineStr">
        <is>
          <t>Prob (F-statistic)</t>
        </is>
      </c>
      <c r="B17" t="inlineStr">
        <is>
          <t>1.2355e-01</t>
        </is>
      </c>
      <c r="C17" t="inlineStr"/>
      <c r="D17" t="inlineStr"/>
      <c r="E17" t="inlineStr"/>
    </row>
    <row r="18">
      <c r="A18" t="inlineStr">
        <is>
          <t>--- [ Coefficients ] ---</t>
        </is>
      </c>
      <c r="B18" t="inlineStr"/>
      <c r="C18" t="inlineStr"/>
      <c r="D18" t="inlineStr"/>
      <c r="E18" t="inlineStr"/>
    </row>
    <row r="19">
      <c r="A19" t="inlineStr">
        <is>
          <t>Intercept</t>
        </is>
      </c>
      <c r="B19" t="n">
        <v>0.0465</v>
      </c>
      <c r="C19" t="n">
        <v>-0.4537</v>
      </c>
      <c r="D19" t="n">
        <v>0.5467</v>
      </c>
      <c r="E19" t="inlineStr">
        <is>
          <t>0.855</t>
        </is>
      </c>
    </row>
    <row r="20">
      <c r="A20" t="inlineStr">
        <is>
          <t>C(gender)[T.MALE]</t>
        </is>
      </c>
      <c r="B20" t="n">
        <v>0.0179</v>
      </c>
      <c r="C20" t="n">
        <v>-0.1345</v>
      </c>
      <c r="D20" t="n">
        <v>0.1702</v>
      </c>
      <c r="E20" t="inlineStr">
        <is>
          <t>0.818</t>
        </is>
      </c>
    </row>
    <row r="21">
      <c r="A21" t="inlineStr">
        <is>
          <t>C(pathologic_stage)[T.2.0]</t>
        </is>
      </c>
      <c r="B21" t="n">
        <v>0.1911</v>
      </c>
      <c r="C21" t="n">
        <v>0.0081</v>
      </c>
      <c r="D21" t="n">
        <v>0.3741</v>
      </c>
      <c r="E21" t="inlineStr">
        <is>
          <t>0.041</t>
        </is>
      </c>
    </row>
    <row r="22">
      <c r="A22" t="inlineStr">
        <is>
          <t>C(pathologic_stage)[T.3.0]</t>
        </is>
      </c>
      <c r="B22" t="n">
        <v>0.2377</v>
      </c>
      <c r="C22" t="n">
        <v>0.0337</v>
      </c>
      <c r="D22" t="n">
        <v>0.4417</v>
      </c>
      <c r="E22" t="inlineStr">
        <is>
          <t>0.023</t>
        </is>
      </c>
    </row>
    <row r="23">
      <c r="A23" t="inlineStr">
        <is>
          <t>C(pathologic_stage)[T.4.0]</t>
        </is>
      </c>
      <c r="B23" t="n">
        <v>-0.052</v>
      </c>
      <c r="C23" t="n">
        <v>-0.392</v>
      </c>
      <c r="D23" t="n">
        <v>0.2881</v>
      </c>
      <c r="E23" t="inlineStr">
        <is>
          <t>0.764</t>
        </is>
      </c>
    </row>
    <row r="24">
      <c r="A24" t="inlineStr">
        <is>
          <t>age_at_initial_pathologic_diagnosis</t>
        </is>
      </c>
      <c r="B24" t="n">
        <v>-0.0029</v>
      </c>
      <c r="C24" t="n">
        <v>-0.0103</v>
      </c>
      <c r="D24" t="n">
        <v>0.0045</v>
      </c>
      <c r="E24" t="inlineStr">
        <is>
          <t>0.441</t>
        </is>
      </c>
    </row>
    <row r="25">
      <c r="A25" t="inlineStr">
        <is>
          <t>number_pack_years_smoked</t>
        </is>
      </c>
      <c r="B25" t="n">
        <v>0.0018</v>
      </c>
      <c r="C25" t="n">
        <v>-0.001</v>
      </c>
      <c r="D25" t="n">
        <v>0.0046</v>
      </c>
      <c r="E25" t="inlineStr">
        <is>
          <t>0.201</t>
        </is>
      </c>
    </row>
    <row r="26">
      <c r="A26" t="inlineStr"/>
      <c r="B26" t="inlineStr"/>
      <c r="C26" t="inlineStr"/>
      <c r="D26" t="inlineStr"/>
      <c r="E26" t="inlineStr"/>
    </row>
    <row r="27">
      <c r="A27">
        <f>== [ Model: Base + Pathologic T ] ===</f>
        <v/>
      </c>
      <c r="B27" t="inlineStr"/>
      <c r="C27" t="inlineStr"/>
      <c r="D27" t="inlineStr"/>
      <c r="E27" t="inlineStr"/>
    </row>
    <row r="28">
      <c r="A28" t="inlineStr">
        <is>
          <t>Dependent Variable (Y)</t>
        </is>
      </c>
      <c r="B28" t="inlineStr">
        <is>
          <t>SignatureScore</t>
        </is>
      </c>
      <c r="C28" t="inlineStr"/>
      <c r="D28" t="inlineStr"/>
      <c r="E28" t="inlineStr"/>
    </row>
    <row r="29">
      <c r="A29" t="inlineStr">
        <is>
          <t>Model Formula</t>
        </is>
      </c>
      <c r="B29" t="inlineStr">
        <is>
          <t>SignatureScore ~ age_at_initial_pathologic_diagnosis + number_pack_years_smoked + C(gender) + C(pathologic_T)</t>
        </is>
      </c>
      <c r="C29" t="inlineStr"/>
      <c r="D29" t="inlineStr"/>
      <c r="E29" t="inlineStr"/>
    </row>
    <row r="30">
      <c r="A30" t="inlineStr">
        <is>
          <t>R-squared</t>
        </is>
      </c>
      <c r="B30" t="inlineStr">
        <is>
          <t>0.0435</t>
        </is>
      </c>
      <c r="C30" t="inlineStr"/>
      <c r="D30" t="inlineStr"/>
      <c r="E30" t="inlineStr"/>
    </row>
    <row r="31">
      <c r="A31" t="inlineStr">
        <is>
          <t>Prob (F-statistic)</t>
        </is>
      </c>
      <c r="B31" t="inlineStr">
        <is>
          <t>2.3825e-02</t>
        </is>
      </c>
      <c r="C31" t="inlineStr"/>
      <c r="D31" t="inlineStr"/>
      <c r="E31" t="inlineStr"/>
    </row>
    <row r="32">
      <c r="A32" t="inlineStr">
        <is>
          <t>--- [ Coefficients ] ---</t>
        </is>
      </c>
      <c r="B32" t="inlineStr"/>
      <c r="C32" t="inlineStr"/>
      <c r="D32" t="inlineStr"/>
      <c r="E32" t="inlineStr"/>
    </row>
    <row r="33">
      <c r="A33" t="inlineStr">
        <is>
          <t>Intercept</t>
        </is>
      </c>
      <c r="B33" t="n">
        <v>-0.0339</v>
      </c>
      <c r="C33" t="n">
        <v>-0.5294</v>
      </c>
      <c r="D33" t="n">
        <v>0.4616</v>
      </c>
      <c r="E33" t="inlineStr">
        <is>
          <t>0.893</t>
        </is>
      </c>
    </row>
    <row r="34">
      <c r="A34" t="inlineStr">
        <is>
          <t>C(gender)[T.MALE]</t>
        </is>
      </c>
      <c r="B34" t="n">
        <v>-0.0147</v>
      </c>
      <c r="C34" t="n">
        <v>-0.1666</v>
      </c>
      <c r="D34" t="n">
        <v>0.1372</v>
      </c>
      <c r="E34" t="inlineStr">
        <is>
          <t>0.849</t>
        </is>
      </c>
    </row>
    <row r="35">
      <c r="A35" t="inlineStr">
        <is>
          <t>C(pathologic_T)[T.2.0]</t>
        </is>
      </c>
      <c r="B35" t="n">
        <v>0.2</v>
      </c>
      <c r="C35" t="n">
        <v>0.038</v>
      </c>
      <c r="D35" t="n">
        <v>0.362</v>
      </c>
      <c r="E35" t="inlineStr">
        <is>
          <t>0.016</t>
        </is>
      </c>
    </row>
    <row r="36">
      <c r="A36" t="inlineStr">
        <is>
          <t>C(pathologic_T)[T.3.0]</t>
        </is>
      </c>
      <c r="B36" t="n">
        <v>0.4315</v>
      </c>
      <c r="C36" t="n">
        <v>0.1582</v>
      </c>
      <c r="D36" t="n">
        <v>0.7048</v>
      </c>
      <c r="E36" t="inlineStr">
        <is>
          <t>0.002</t>
        </is>
      </c>
    </row>
    <row r="37">
      <c r="A37" t="inlineStr">
        <is>
          <t>C(pathologic_T)[T.4.0]</t>
        </is>
      </c>
      <c r="B37" t="n">
        <v>0.3556</v>
      </c>
      <c r="C37" t="n">
        <v>-0.0307</v>
      </c>
      <c r="D37" t="n">
        <v>0.7419</v>
      </c>
      <c r="E37" t="inlineStr">
        <is>
          <t>0.071</t>
        </is>
      </c>
    </row>
    <row r="38">
      <c r="A38" t="inlineStr">
        <is>
          <t>age_at_initial_pathologic_diagnosis</t>
        </is>
      </c>
      <c r="B38" t="n">
        <v>-0.0025</v>
      </c>
      <c r="C38" t="n">
        <v>-0.0097</v>
      </c>
      <c r="D38" t="n">
        <v>0.0047</v>
      </c>
      <c r="E38" t="inlineStr">
        <is>
          <t>0.499</t>
        </is>
      </c>
    </row>
    <row r="39">
      <c r="A39" t="inlineStr">
        <is>
          <t>number_pack_years_smoked</t>
        </is>
      </c>
      <c r="B39" t="n">
        <v>0.0017</v>
      </c>
      <c r="C39" t="n">
        <v>-0.0011</v>
      </c>
      <c r="D39" t="n">
        <v>0.0044</v>
      </c>
      <c r="E39" t="inlineStr">
        <is>
          <t>0.232</t>
        </is>
      </c>
    </row>
    <row r="40">
      <c r="A40" t="inlineStr"/>
      <c r="B40" t="inlineStr"/>
      <c r="C40" t="inlineStr"/>
      <c r="D40" t="inlineStr"/>
      <c r="E40" t="inlineStr"/>
    </row>
    <row r="41">
      <c r="A41">
        <f>== [ Model: Base + Pathologic N ] ===</f>
        <v/>
      </c>
      <c r="B41" t="inlineStr"/>
      <c r="C41" t="inlineStr"/>
      <c r="D41" t="inlineStr"/>
      <c r="E41" t="inlineStr"/>
    </row>
    <row r="42">
      <c r="A42" t="inlineStr">
        <is>
          <t>Dependent Variable (Y)</t>
        </is>
      </c>
      <c r="B42" t="inlineStr">
        <is>
          <t>SignatureScore</t>
        </is>
      </c>
      <c r="C42" t="inlineStr"/>
      <c r="D42" t="inlineStr"/>
      <c r="E42" t="inlineStr"/>
    </row>
    <row r="43">
      <c r="A43" t="inlineStr">
        <is>
          <t>Model Formula</t>
        </is>
      </c>
      <c r="B43" t="inlineStr">
        <is>
          <t>SignatureScore ~ age_at_initial_pathologic_diagnosis + number_pack_years_smoked + C(gender) + C(pathologic_N)</t>
        </is>
      </c>
      <c r="C43" t="inlineStr"/>
      <c r="D43" t="inlineStr"/>
      <c r="E43" t="inlineStr"/>
    </row>
    <row r="44">
      <c r="A44" t="inlineStr">
        <is>
          <t>R-squared</t>
        </is>
      </c>
      <c r="B44" t="inlineStr">
        <is>
          <t>0.0127</t>
        </is>
      </c>
      <c r="C44" t="inlineStr"/>
      <c r="D44" t="inlineStr"/>
      <c r="E44" t="inlineStr"/>
    </row>
    <row r="45">
      <c r="A45" t="inlineStr">
        <is>
          <t>Prob (F-statistic)</t>
        </is>
      </c>
      <c r="B45" t="inlineStr">
        <is>
          <t>6.6106e-01</t>
        </is>
      </c>
      <c r="C45" t="inlineStr"/>
      <c r="D45" t="inlineStr"/>
      <c r="E45" t="inlineStr"/>
    </row>
    <row r="46">
      <c r="A46" t="inlineStr">
        <is>
          <t>--- [ Coefficients ] ---</t>
        </is>
      </c>
      <c r="B46" t="inlineStr"/>
      <c r="C46" t="inlineStr"/>
      <c r="D46" t="inlineStr"/>
      <c r="E46" t="inlineStr"/>
    </row>
    <row r="47">
      <c r="A47" t="inlineStr">
        <is>
          <t>Intercept</t>
        </is>
      </c>
      <c r="B47" t="n">
        <v>0.1149</v>
      </c>
      <c r="C47" t="n">
        <v>-0.3898</v>
      </c>
      <c r="D47" t="n">
        <v>0.6197</v>
      </c>
      <c r="E47" t="inlineStr">
        <is>
          <t>0.654</t>
        </is>
      </c>
    </row>
    <row r="48">
      <c r="A48" t="inlineStr">
        <is>
          <t>C(gender)[T.MALE]</t>
        </is>
      </c>
      <c r="B48" t="n">
        <v>0.0242</v>
      </c>
      <c r="C48" t="n">
        <v>-0.1299</v>
      </c>
      <c r="D48" t="n">
        <v>0.1782</v>
      </c>
      <c r="E48" t="inlineStr">
        <is>
          <t>0.758</t>
        </is>
      </c>
    </row>
    <row r="49">
      <c r="A49" t="inlineStr">
        <is>
          <t>C(pathologic_N)[T.1.0]</t>
        </is>
      </c>
      <c r="B49" t="n">
        <v>0.1071</v>
      </c>
      <c r="C49" t="n">
        <v>-0.08740000000000001</v>
      </c>
      <c r="D49" t="n">
        <v>0.3015</v>
      </c>
      <c r="E49" t="inlineStr">
        <is>
          <t>0.279</t>
        </is>
      </c>
    </row>
    <row r="50">
      <c r="A50" t="inlineStr">
        <is>
          <t>C(pathologic_N)[T.2.0]</t>
        </is>
      </c>
      <c r="B50" t="n">
        <v>0.1407</v>
      </c>
      <c r="C50" t="n">
        <v>-0.07679999999999999</v>
      </c>
      <c r="D50" t="n">
        <v>0.3583</v>
      </c>
      <c r="E50" t="inlineStr">
        <is>
          <t>0.204</t>
        </is>
      </c>
    </row>
    <row r="51">
      <c r="A51" t="inlineStr">
        <is>
          <t>C(pathologic_N)[T.3.0]</t>
        </is>
      </c>
      <c r="B51" t="n">
        <v>0.0457</v>
      </c>
      <c r="C51" t="n">
        <v>-0.9146</v>
      </c>
      <c r="D51" t="n">
        <v>1.006</v>
      </c>
      <c r="E51" t="inlineStr">
        <is>
          <t>0.925</t>
        </is>
      </c>
    </row>
    <row r="52">
      <c r="A52" t="inlineStr">
        <is>
          <t>age_at_initial_pathologic_diagnosis</t>
        </is>
      </c>
      <c r="B52" t="n">
        <v>-0.0031</v>
      </c>
      <c r="C52" t="n">
        <v>-0.0106</v>
      </c>
      <c r="D52" t="n">
        <v>0.0044</v>
      </c>
      <c r="E52" t="inlineStr">
        <is>
          <t>0.422</t>
        </is>
      </c>
    </row>
    <row r="53">
      <c r="A53" t="inlineStr">
        <is>
          <t>number_pack_years_smoked</t>
        </is>
      </c>
      <c r="B53" t="n">
        <v>0.0014</v>
      </c>
      <c r="C53" t="n">
        <v>-0.0014</v>
      </c>
      <c r="D53" t="n">
        <v>0.0042</v>
      </c>
      <c r="E53" t="inlineStr">
        <is>
          <t>0.311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[ Model: Base + Pathologic M ] ===</f>
        <v/>
      </c>
      <c r="B55" t="inlineStr"/>
      <c r="C55" t="inlineStr"/>
      <c r="D55" t="inlineStr"/>
      <c r="E55" t="inlineStr"/>
    </row>
    <row r="56">
      <c r="A56" t="inlineStr">
        <is>
          <t>Dependent Variable (Y)</t>
        </is>
      </c>
      <c r="B56" t="inlineStr">
        <is>
          <t>SignatureScore</t>
        </is>
      </c>
      <c r="C56" t="inlineStr"/>
      <c r="D56" t="inlineStr"/>
      <c r="E56" t="inlineStr"/>
    </row>
    <row r="57">
      <c r="A57" t="inlineStr">
        <is>
          <t>Model Formula</t>
        </is>
      </c>
      <c r="B57" t="inlineStr">
        <is>
          <t>SignatureScore ~ age_at_initial_pathologic_diagnosis + number_pack_years_smoked + C(gender) + C(pathologic_M)</t>
        </is>
      </c>
      <c r="C57" t="inlineStr"/>
      <c r="D57" t="inlineStr"/>
      <c r="E57" t="inlineStr"/>
    </row>
    <row r="58">
      <c r="A58" t="inlineStr">
        <is>
          <t>R-squared</t>
        </is>
      </c>
      <c r="B58" t="inlineStr">
        <is>
          <t>0.0117</t>
        </is>
      </c>
      <c r="C58" t="inlineStr"/>
      <c r="D58" t="inlineStr"/>
      <c r="E58" t="inlineStr"/>
    </row>
    <row r="59">
      <c r="A59" t="inlineStr">
        <is>
          <t>Prob (F-statistic)</t>
        </is>
      </c>
      <c r="B59" t="inlineStr">
        <is>
          <t>6.0468e-01</t>
        </is>
      </c>
      <c r="C59" t="inlineStr"/>
      <c r="D59" t="inlineStr"/>
      <c r="E59" t="inlineStr"/>
    </row>
    <row r="60">
      <c r="A60" t="inlineStr">
        <is>
          <t>--- [ Coefficients ] ---</t>
        </is>
      </c>
      <c r="B60" t="inlineStr"/>
      <c r="C60" t="inlineStr"/>
      <c r="D60" t="inlineStr"/>
      <c r="E60" t="inlineStr"/>
    </row>
    <row r="61">
      <c r="A61" t="inlineStr">
        <is>
          <t>Intercept</t>
        </is>
      </c>
      <c r="B61" t="n">
        <v>0.07539999999999999</v>
      </c>
      <c r="C61" t="n">
        <v>-0.5513</v>
      </c>
      <c r="D61" t="n">
        <v>0.7020999999999999</v>
      </c>
      <c r="E61" t="inlineStr">
        <is>
          <t>0.813</t>
        </is>
      </c>
    </row>
    <row r="62">
      <c r="A62" t="inlineStr">
        <is>
          <t>C(gender)[T.MALE]</t>
        </is>
      </c>
      <c r="B62" t="n">
        <v>0.0246</v>
      </c>
      <c r="C62" t="n">
        <v>-0.1697</v>
      </c>
      <c r="D62" t="n">
        <v>0.2189</v>
      </c>
      <c r="E62" t="inlineStr">
        <is>
          <t>0.803</t>
        </is>
      </c>
    </row>
    <row r="63">
      <c r="A63" t="inlineStr">
        <is>
          <t>C(pathologic_M)[T.1.0]</t>
        </is>
      </c>
      <c r="B63" t="n">
        <v>-0.2037</v>
      </c>
      <c r="C63" t="n">
        <v>-0.5728</v>
      </c>
      <c r="D63" t="n">
        <v>0.1654</v>
      </c>
      <c r="E63" t="inlineStr">
        <is>
          <t>0.278</t>
        </is>
      </c>
    </row>
    <row r="64">
      <c r="A64" t="inlineStr">
        <is>
          <t>age_at_initial_pathologic_diagnosis</t>
        </is>
      </c>
      <c r="B64" t="n">
        <v>-0.0013</v>
      </c>
      <c r="C64" t="n">
        <v>-0.0107</v>
      </c>
      <c r="D64" t="n">
        <v>0.008200000000000001</v>
      </c>
      <c r="E64" t="inlineStr">
        <is>
          <t>0.794</t>
        </is>
      </c>
    </row>
    <row r="65">
      <c r="A65" t="inlineStr">
        <is>
          <t>number_pack_years_smoked</t>
        </is>
      </c>
      <c r="B65" t="n">
        <v>0.0022</v>
      </c>
      <c r="C65" t="n">
        <v>-0.0014</v>
      </c>
      <c r="D65" t="n">
        <v>0.0058</v>
      </c>
      <c r="E65" t="inlineStr">
        <is>
          <t>0.228</t>
        </is>
      </c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Signature</t>
        </is>
      </c>
      <c r="D2" t="inlineStr">
        <is>
          <t>14.509</t>
        </is>
      </c>
      <c r="E2" t="inlineStr">
        <is>
          <t>0.002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Signature</t>
        </is>
      </c>
      <c r="D3" t="inlineStr">
        <is>
          <t>9.137</t>
        </is>
      </c>
      <c r="E3" t="inlineStr">
        <is>
          <t>0.028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2026-07-30T08:08:32Z</dcterms:created>
  <dcterms:modified xsi:type="dcterms:W3CDTF">2026-07-30T08:08:32Z</dcterms:modified>
</cp:coreProperties>
</file>
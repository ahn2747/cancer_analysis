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3.1 (Cox)_stage_continuous" sheetId="4" state="visible" r:id="rId4"/>
    <sheet name="Table 4 (Multivariate OLS)" sheetId="5" state="visible" r:id="rId5"/>
    <sheet name="Table 5 (KM Log-rank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84</v>
      </c>
      <c r="C3" t="n">
        <v>104</v>
      </c>
      <c r="D3" t="inlineStr">
        <is>
          <t>0.058</t>
        </is>
      </c>
    </row>
    <row r="4">
      <c r="A4" t="inlineStr">
        <is>
          <t xml:space="preserve">  1.0</t>
        </is>
      </c>
      <c r="B4" t="n">
        <v>160</v>
      </c>
      <c r="C4" t="n">
        <v>139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65</v>
      </c>
      <c r="C6" t="n">
        <v>61</v>
      </c>
      <c r="D6" t="inlineStr">
        <is>
          <t>0.699</t>
        </is>
      </c>
    </row>
    <row r="7">
      <c r="A7" t="inlineStr">
        <is>
          <t xml:space="preserve">  MALE</t>
        </is>
      </c>
      <c r="B7" t="n">
        <v>179</v>
      </c>
      <c r="C7" t="n">
        <v>182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133</v>
      </c>
      <c r="C9" t="n">
        <v>105</v>
      </c>
      <c r="D9" t="inlineStr">
        <is>
          <t>0.082</t>
        </is>
      </c>
    </row>
    <row r="10">
      <c r="A10" t="inlineStr">
        <is>
          <t xml:space="preserve">  2.0</t>
        </is>
      </c>
      <c r="B10" t="n">
        <v>67</v>
      </c>
      <c r="C10" t="n">
        <v>89</v>
      </c>
      <c r="D10" t="inlineStr"/>
    </row>
    <row r="11">
      <c r="A11" t="inlineStr">
        <is>
          <t xml:space="preserve">  3.0</t>
        </is>
      </c>
      <c r="B11" t="n">
        <v>39</v>
      </c>
      <c r="C11" t="n">
        <v>43</v>
      </c>
      <c r="D11" t="inlineStr"/>
    </row>
    <row r="12">
      <c r="A12" t="inlineStr">
        <is>
          <t xml:space="preserve">  4.0</t>
        </is>
      </c>
      <c r="B12" t="n">
        <v>4</v>
      </c>
      <c r="C12" t="n">
        <v>3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197</v>
      </c>
      <c r="C14" t="n">
        <v>203</v>
      </c>
      <c r="D14" t="inlineStr">
        <is>
          <t>0.679</t>
        </is>
      </c>
    </row>
    <row r="15">
      <c r="A15" t="inlineStr">
        <is>
          <t xml:space="preserve">  1.0</t>
        </is>
      </c>
      <c r="B15" t="n">
        <v>4</v>
      </c>
      <c r="C15" t="n">
        <v>3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165</v>
      </c>
      <c r="C17" t="n">
        <v>146</v>
      </c>
      <c r="D17" t="inlineStr">
        <is>
          <t>0.096</t>
        </is>
      </c>
    </row>
    <row r="18">
      <c r="A18" t="inlineStr">
        <is>
          <t xml:space="preserve">  1.0</t>
        </is>
      </c>
      <c r="B18" t="n">
        <v>52</v>
      </c>
      <c r="C18" t="n">
        <v>74</v>
      </c>
      <c r="D18" t="inlineStr"/>
    </row>
    <row r="19">
      <c r="A19" t="inlineStr">
        <is>
          <t xml:space="preserve">  2.0</t>
        </is>
      </c>
      <c r="B19" t="n">
        <v>18</v>
      </c>
      <c r="C19" t="n">
        <v>22</v>
      </c>
      <c r="D19" t="inlineStr"/>
    </row>
    <row r="20">
      <c r="A20" t="inlineStr">
        <is>
          <t xml:space="preserve">  3.0</t>
        </is>
      </c>
      <c r="B20" t="n">
        <v>3</v>
      </c>
      <c r="C20" t="n">
        <v>1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66</v>
      </c>
      <c r="C22" t="n">
        <v>43</v>
      </c>
      <c r="D22" t="inlineStr">
        <is>
          <t>0.044</t>
        </is>
      </c>
    </row>
    <row r="23">
      <c r="A23" t="inlineStr">
        <is>
          <t xml:space="preserve">  2.0</t>
        </is>
      </c>
      <c r="B23" t="n">
        <v>133</v>
      </c>
      <c r="C23" t="n">
        <v>152</v>
      </c>
      <c r="D23" t="inlineStr"/>
    </row>
    <row r="24">
      <c r="A24" t="inlineStr">
        <is>
          <t xml:space="preserve">  3.0</t>
        </is>
      </c>
      <c r="B24" t="n">
        <v>31</v>
      </c>
      <c r="C24" t="n">
        <v>39</v>
      </c>
      <c r="D24" t="inlineStr"/>
    </row>
    <row r="25">
      <c r="A25" t="inlineStr">
        <is>
          <t xml:space="preserve">  4.0</t>
        </is>
      </c>
      <c r="B25" t="n">
        <v>14</v>
      </c>
      <c r="C25" t="n">
        <v>9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42</v>
      </c>
      <c r="C27" t="n">
        <v>34</v>
      </c>
      <c r="D27" t="inlineStr">
        <is>
          <t>0.318</t>
        </is>
      </c>
    </row>
    <row r="28">
      <c r="A28" t="inlineStr">
        <is>
          <t xml:space="preserve">  1.0</t>
        </is>
      </c>
      <c r="B28" t="n">
        <v>202</v>
      </c>
      <c r="C28" t="n">
        <v>210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NTRK3expression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NTRK3expression</t>
        </is>
      </c>
      <c r="B2" t="inlineStr">
        <is>
          <t>R</t>
        </is>
      </c>
      <c r="C2" t="inlineStr">
        <is>
          <t>1</t>
        </is>
      </c>
      <c r="D2" t="inlineStr">
        <is>
          <t>0.002</t>
        </is>
      </c>
      <c r="E2" t="inlineStr">
        <is>
          <t>-0.022</t>
        </is>
      </c>
      <c r="F2" t="inlineStr">
        <is>
          <t>-0.016</t>
        </is>
      </c>
      <c r="G2" t="inlineStr">
        <is>
          <t>-0.023</t>
        </is>
      </c>
      <c r="H2" t="inlineStr">
        <is>
          <t>-0.089</t>
        </is>
      </c>
      <c r="I2" t="inlineStr">
        <is>
          <t>-0.063</t>
        </is>
      </c>
      <c r="J2" t="inlineStr">
        <is>
          <t>0.282</t>
        </is>
      </c>
    </row>
    <row r="3">
      <c r="A3" t="inlineStr"/>
      <c r="B3" t="inlineStr">
        <is>
          <t>P-value</t>
        </is>
      </c>
      <c r="C3" t="inlineStr"/>
      <c r="D3" t="inlineStr">
        <is>
          <t>0.963</t>
        </is>
      </c>
      <c r="E3" t="inlineStr">
        <is>
          <t>0.628</t>
        </is>
      </c>
      <c r="F3" t="inlineStr">
        <is>
          <t>0.729</t>
        </is>
      </c>
      <c r="G3" t="inlineStr">
        <is>
          <t>0.617</t>
        </is>
      </c>
      <c r="H3" t="inlineStr">
        <is>
          <t>0.049</t>
        </is>
      </c>
      <c r="I3" t="inlineStr">
        <is>
          <t>0.168</t>
        </is>
      </c>
      <c r="J3" t="inlineStr">
        <is>
          <t>&lt;0.001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0.002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0.963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-0.022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0.628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-0.016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0.729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-0.023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0.617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-0.089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0.049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-0.063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0.168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0.282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&lt;0.001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age</t>
        </is>
      </c>
      <c r="B2" t="n">
        <v>1.019</v>
      </c>
      <c r="C2" t="inlineStr">
        <is>
          <t>1.000-1.039</t>
        </is>
      </c>
      <c r="D2" t="inlineStr">
        <is>
          <t>0.046</t>
        </is>
      </c>
    </row>
    <row r="3">
      <c r="A3" t="inlineStr">
        <is>
          <t>number_pack_years_smoked</t>
        </is>
      </c>
      <c r="B3" t="n">
        <v>1</v>
      </c>
      <c r="C3" t="inlineStr">
        <is>
          <t>0.995-1.004</t>
        </is>
      </c>
      <c r="D3" t="inlineStr">
        <is>
          <t>0.953</t>
        </is>
      </c>
    </row>
    <row r="4">
      <c r="A4" t="inlineStr">
        <is>
          <t>NTRK3group_Low</t>
        </is>
      </c>
      <c r="B4" t="n">
        <v>0.717</v>
      </c>
      <c r="C4" t="inlineStr">
        <is>
          <t>0.531-0.967</t>
        </is>
      </c>
      <c r="D4" t="inlineStr">
        <is>
          <t>0.029</t>
        </is>
      </c>
    </row>
    <row r="5">
      <c r="A5" t="inlineStr">
        <is>
          <t>gender_MALE</t>
        </is>
      </c>
      <c r="B5" t="n">
        <v>1.208</v>
      </c>
      <c r="C5" t="inlineStr">
        <is>
          <t>0.852-1.712</t>
        </is>
      </c>
      <c r="D5" t="inlineStr">
        <is>
          <t>0.289</t>
        </is>
      </c>
    </row>
    <row r="6">
      <c r="A6" t="inlineStr">
        <is>
          <t>pathologic_stage_2.0</t>
        </is>
      </c>
      <c r="B6" t="n">
        <v>1.056</v>
      </c>
      <c r="C6" t="inlineStr">
        <is>
          <t>0.746-1.496</t>
        </is>
      </c>
      <c r="D6" t="inlineStr">
        <is>
          <t>0.759</t>
        </is>
      </c>
    </row>
    <row r="7">
      <c r="A7" t="inlineStr">
        <is>
          <t>pathologic_stage_3.0</t>
        </is>
      </c>
      <c r="B7" t="n">
        <v>1.345</v>
      </c>
      <c r="C7" t="inlineStr">
        <is>
          <t>0.906-1.997</t>
        </is>
      </c>
      <c r="D7" t="inlineStr">
        <is>
          <t>0.142</t>
        </is>
      </c>
    </row>
    <row r="8">
      <c r="A8" t="inlineStr">
        <is>
          <t>pathologic_stage_4.0</t>
        </is>
      </c>
      <c r="B8" t="n">
        <v>3.422</v>
      </c>
      <c r="C8" t="inlineStr">
        <is>
          <t>1.366-8.574</t>
        </is>
      </c>
      <c r="D8" t="inlineStr">
        <is>
          <t>0.009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</t>
        </is>
      </c>
      <c r="D1" s="1" t="inlineStr">
        <is>
          <t>P-value</t>
        </is>
      </c>
    </row>
    <row r="2">
      <c r="A2" t="inlineStr">
        <is>
          <t>age</t>
        </is>
      </c>
      <c r="B2" t="n">
        <v>1.02</v>
      </c>
      <c r="C2" t="inlineStr">
        <is>
          <t>1.001-1.040</t>
        </is>
      </c>
      <c r="D2" t="inlineStr">
        <is>
          <t>0.035</t>
        </is>
      </c>
    </row>
    <row r="3">
      <c r="A3" t="inlineStr">
        <is>
          <t>number_pack_years_smoked</t>
        </is>
      </c>
      <c r="B3" t="n">
        <v>1</v>
      </c>
      <c r="C3" t="inlineStr">
        <is>
          <t>0.995-1.004</t>
        </is>
      </c>
      <c r="D3" t="inlineStr">
        <is>
          <t>0.858</t>
        </is>
      </c>
    </row>
    <row r="4">
      <c r="A4" t="inlineStr">
        <is>
          <t>pathologic_stage</t>
        </is>
      </c>
      <c r="B4" t="n">
        <v>1.208</v>
      </c>
      <c r="C4" t="inlineStr">
        <is>
          <t>1.010-1.446</t>
        </is>
      </c>
      <c r="D4" t="inlineStr">
        <is>
          <t>0.039</t>
        </is>
      </c>
    </row>
    <row r="5">
      <c r="A5" t="inlineStr">
        <is>
          <t>NTRK3group_Low</t>
        </is>
      </c>
      <c r="B5" t="n">
        <v>0.722</v>
      </c>
      <c r="C5" t="inlineStr">
        <is>
          <t>0.536-0.972</t>
        </is>
      </c>
      <c r="D5" t="inlineStr">
        <is>
          <t>0.032</t>
        </is>
      </c>
    </row>
    <row r="6">
      <c r="A6" t="inlineStr">
        <is>
          <t>gender_MALE</t>
        </is>
      </c>
      <c r="B6" t="n">
        <v>1.226</v>
      </c>
      <c r="C6" t="inlineStr">
        <is>
          <t>0.868-1.733</t>
        </is>
      </c>
      <c r="D6" t="inlineStr">
        <is>
          <t>0.248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</t>
        </is>
      </c>
      <c r="D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</row>
    <row r="3">
      <c r="A3" t="inlineStr">
        <is>
          <t>Dependent Variable (Y)</t>
        </is>
      </c>
      <c r="B3" t="inlineStr">
        <is>
          <t>NTRK3expression</t>
        </is>
      </c>
      <c r="C3" t="inlineStr"/>
      <c r="D3" t="inlineStr"/>
    </row>
    <row r="4">
      <c r="A4" t="inlineStr">
        <is>
          <t>Model Formula</t>
        </is>
      </c>
      <c r="B4" t="inlineStr">
        <is>
          <t>NTRK3expression ~ age + number_pack_years_smoked + C(gender)</t>
        </is>
      </c>
      <c r="C4" t="inlineStr"/>
      <c r="D4" t="inlineStr"/>
    </row>
    <row r="5">
      <c r="A5" t="inlineStr">
        <is>
          <t>R-squared</t>
        </is>
      </c>
      <c r="B5" t="inlineStr">
        <is>
          <t>0.0025</t>
        </is>
      </c>
      <c r="C5" t="inlineStr"/>
      <c r="D5" t="inlineStr"/>
    </row>
    <row r="6">
      <c r="A6" t="inlineStr">
        <is>
          <t>Prob (F-statistic)</t>
        </is>
      </c>
      <c r="B6" t="inlineStr">
        <is>
          <t>7.9624e-01</t>
        </is>
      </c>
      <c r="C6" t="inlineStr"/>
      <c r="D6" t="inlineStr"/>
    </row>
    <row r="7">
      <c r="A7" t="inlineStr">
        <is>
          <t>--- [ Coefficients ] ---</t>
        </is>
      </c>
      <c r="B7" t="inlineStr"/>
      <c r="C7" t="inlineStr"/>
      <c r="D7" t="inlineStr"/>
    </row>
    <row r="8">
      <c r="A8" t="inlineStr">
        <is>
          <t>Intercept</t>
        </is>
      </c>
      <c r="B8" t="n">
        <v>43.358</v>
      </c>
      <c r="C8" t="inlineStr">
        <is>
          <t>-102.784-189.501</t>
        </is>
      </c>
      <c r="D8" t="inlineStr">
        <is>
          <t>0.560</t>
        </is>
      </c>
    </row>
    <row r="9">
      <c r="A9" t="inlineStr">
        <is>
          <t>C(gender)[T.MALE]</t>
        </is>
      </c>
      <c r="B9" t="n">
        <v>18.26</v>
      </c>
      <c r="C9" t="inlineStr">
        <is>
          <t>-21.324-57.843</t>
        </is>
      </c>
      <c r="D9" t="inlineStr">
        <is>
          <t>0.365</t>
        </is>
      </c>
    </row>
    <row r="10">
      <c r="A10" t="inlineStr">
        <is>
          <t>age</t>
        </is>
      </c>
      <c r="B10" t="n">
        <v>-0.45</v>
      </c>
      <c r="C10" t="inlineStr">
        <is>
          <t>-2.541-1.641</t>
        </is>
      </c>
      <c r="D10" t="inlineStr">
        <is>
          <t>0.672</t>
        </is>
      </c>
    </row>
    <row r="11">
      <c r="A11" t="inlineStr">
        <is>
          <t>number_pack_years_smoked</t>
        </is>
      </c>
      <c r="B11" t="n">
        <v>-0.014</v>
      </c>
      <c r="C11" t="inlineStr">
        <is>
          <t>-0.572-0.543</t>
        </is>
      </c>
      <c r="D11" t="inlineStr">
        <is>
          <t>0.959</t>
        </is>
      </c>
    </row>
    <row r="12">
      <c r="A12" t="inlineStr"/>
      <c r="B12" t="inlineStr"/>
      <c r="C12" t="inlineStr"/>
      <c r="D12" t="inlineStr"/>
    </row>
    <row r="13">
      <c r="A13">
        <f>== [ Model: Base + Pathologic Stage ] ===</f>
        <v/>
      </c>
      <c r="B13" t="inlineStr"/>
      <c r="C13" t="inlineStr"/>
      <c r="D13" t="inlineStr"/>
    </row>
    <row r="14">
      <c r="A14" t="inlineStr">
        <is>
          <t>Dependent Variable (Y)</t>
        </is>
      </c>
      <c r="B14" t="inlineStr">
        <is>
          <t>NTRK3expression</t>
        </is>
      </c>
      <c r="C14" t="inlineStr"/>
      <c r="D14" t="inlineStr"/>
    </row>
    <row r="15">
      <c r="A15" t="inlineStr">
        <is>
          <t>Model Formula</t>
        </is>
      </c>
      <c r="B15" t="inlineStr">
        <is>
          <t>NTRK3expression ~ age + number_pack_years_smoked + C(gender) + C(pathologic_stage)</t>
        </is>
      </c>
      <c r="C15" t="inlineStr"/>
      <c r="D15" t="inlineStr"/>
    </row>
    <row r="16">
      <c r="A16" t="inlineStr">
        <is>
          <t>R-squared</t>
        </is>
      </c>
      <c r="B16" t="inlineStr">
        <is>
          <t>0.0132</t>
        </is>
      </c>
      <c r="C16" t="inlineStr"/>
      <c r="D16" t="inlineStr"/>
    </row>
    <row r="17">
      <c r="A17" t="inlineStr">
        <is>
          <t>Prob (F-statistic)</t>
        </is>
      </c>
      <c r="B17" t="inlineStr">
        <is>
          <t>4.9716e-01</t>
        </is>
      </c>
      <c r="C17" t="inlineStr"/>
      <c r="D17" t="inlineStr"/>
    </row>
    <row r="18">
      <c r="A18" t="inlineStr">
        <is>
          <t>--- [ Coefficients ] ---</t>
        </is>
      </c>
      <c r="B18" t="inlineStr"/>
      <c r="C18" t="inlineStr"/>
      <c r="D18" t="inlineStr"/>
    </row>
    <row r="19">
      <c r="A19" t="inlineStr">
        <is>
          <t>Intercept</t>
        </is>
      </c>
      <c r="B19" t="n">
        <v>74.994</v>
      </c>
      <c r="C19" t="inlineStr">
        <is>
          <t>-75.281-225.269</t>
        </is>
      </c>
      <c r="D19" t="inlineStr">
        <is>
          <t>0.327</t>
        </is>
      </c>
    </row>
    <row r="20">
      <c r="A20" t="inlineStr">
        <is>
          <t>C(gender)[T.MALE]</t>
        </is>
      </c>
      <c r="B20" t="n">
        <v>20.151</v>
      </c>
      <c r="C20" t="inlineStr">
        <is>
          <t>-19.724-60.026</t>
        </is>
      </c>
      <c r="D20" t="inlineStr">
        <is>
          <t>0.321</t>
        </is>
      </c>
    </row>
    <row r="21">
      <c r="A21" t="inlineStr">
        <is>
          <t>C(pathologic_stage)[T.2.0]</t>
        </is>
      </c>
      <c r="B21" t="n">
        <v>-35.879</v>
      </c>
      <c r="C21" t="inlineStr">
        <is>
          <t>-75.383-3.625</t>
        </is>
      </c>
      <c r="D21" t="inlineStr">
        <is>
          <t>0.075</t>
        </is>
      </c>
    </row>
    <row r="22">
      <c r="A22" t="inlineStr">
        <is>
          <t>C(pathologic_stage)[T.3.0]</t>
        </is>
      </c>
      <c r="B22" t="n">
        <v>-38.529</v>
      </c>
      <c r="C22" t="inlineStr">
        <is>
          <t>-88.123-11.065</t>
        </is>
      </c>
      <c r="D22" t="inlineStr">
        <is>
          <t>0.127</t>
        </is>
      </c>
    </row>
    <row r="23">
      <c r="A23" t="inlineStr">
        <is>
          <t>C(pathologic_stage)[T.4.0]</t>
        </is>
      </c>
      <c r="B23" t="n">
        <v>-41.492</v>
      </c>
      <c r="C23" t="inlineStr">
        <is>
          <t>-187.543-104.559</t>
        </is>
      </c>
      <c r="D23" t="inlineStr">
        <is>
          <t>0.577</t>
        </is>
      </c>
    </row>
    <row r="24">
      <c r="A24" t="inlineStr">
        <is>
          <t>age</t>
        </is>
      </c>
      <c r="B24" t="n">
        <v>-0.662</v>
      </c>
      <c r="C24" t="inlineStr">
        <is>
          <t>-2.779-1.455</t>
        </is>
      </c>
      <c r="D24" t="inlineStr">
        <is>
          <t>0.539</t>
        </is>
      </c>
    </row>
    <row r="25">
      <c r="A25" t="inlineStr">
        <is>
          <t>number_pack_years_smoked</t>
        </is>
      </c>
      <c r="B25" t="n">
        <v>-0.021</v>
      </c>
      <c r="C25" t="inlineStr">
        <is>
          <t>-0.581-0.54</t>
        </is>
      </c>
      <c r="D25" t="inlineStr">
        <is>
          <t>0.943</t>
        </is>
      </c>
    </row>
    <row r="26">
      <c r="A26" t="inlineStr"/>
      <c r="B26" t="inlineStr"/>
      <c r="C26" t="inlineStr"/>
      <c r="D26" t="inlineStr"/>
    </row>
    <row r="27">
      <c r="A27">
        <f>== [ Model: Base + Pathologic T ] ===</f>
        <v/>
      </c>
      <c r="B27" t="inlineStr"/>
      <c r="C27" t="inlineStr"/>
      <c r="D27" t="inlineStr"/>
    </row>
    <row r="28">
      <c r="A28" t="inlineStr">
        <is>
          <t>Dependent Variable (Y)</t>
        </is>
      </c>
      <c r="B28" t="inlineStr">
        <is>
          <t>NTRK3expression</t>
        </is>
      </c>
      <c r="C28" t="inlineStr"/>
      <c r="D28" t="inlineStr"/>
    </row>
    <row r="29">
      <c r="A29" t="inlineStr">
        <is>
          <t>Model Formula</t>
        </is>
      </c>
      <c r="B29" t="inlineStr">
        <is>
          <t>NTRK3expression ~ age + number_pack_years_smoked + C(gender) + C(pathologic_T)</t>
        </is>
      </c>
      <c r="C29" t="inlineStr"/>
      <c r="D29" t="inlineStr"/>
    </row>
    <row r="30">
      <c r="A30" t="inlineStr">
        <is>
          <t>R-squared</t>
        </is>
      </c>
      <c r="B30" t="inlineStr">
        <is>
          <t>0.0050</t>
        </is>
      </c>
      <c r="C30" t="inlineStr"/>
      <c r="D30" t="inlineStr"/>
    </row>
    <row r="31">
      <c r="A31" t="inlineStr">
        <is>
          <t>Prob (F-statistic)</t>
        </is>
      </c>
      <c r="B31" t="inlineStr">
        <is>
          <t>9.1732e-01</t>
        </is>
      </c>
      <c r="C31" t="inlineStr"/>
      <c r="D31" t="inlineStr"/>
    </row>
    <row r="32">
      <c r="A32" t="inlineStr">
        <is>
          <t>--- [ Coefficients ] ---</t>
        </is>
      </c>
      <c r="B32" t="inlineStr"/>
      <c r="C32" t="inlineStr"/>
      <c r="D32" t="inlineStr"/>
    </row>
    <row r="33">
      <c r="A33" t="inlineStr">
        <is>
          <t>Intercept</t>
        </is>
      </c>
      <c r="B33" t="n">
        <v>54.396</v>
      </c>
      <c r="C33" t="inlineStr">
        <is>
          <t>-94.893-203.684</t>
        </is>
      </c>
      <c r="D33" t="inlineStr">
        <is>
          <t>0.474</t>
        </is>
      </c>
    </row>
    <row r="34">
      <c r="A34" t="inlineStr">
        <is>
          <t>C(gender)[T.MALE]</t>
        </is>
      </c>
      <c r="B34" t="n">
        <v>18.965</v>
      </c>
      <c r="C34" t="inlineStr">
        <is>
          <t>-21.232-59.162</t>
        </is>
      </c>
      <c r="D34" t="inlineStr">
        <is>
          <t>0.354</t>
        </is>
      </c>
    </row>
    <row r="35">
      <c r="A35" t="inlineStr">
        <is>
          <t>C(pathologic_T)[T.2.0]</t>
        </is>
      </c>
      <c r="B35" t="n">
        <v>-8.657</v>
      </c>
      <c r="C35" t="inlineStr">
        <is>
          <t>-51.71-34.396</t>
        </is>
      </c>
      <c r="D35" t="inlineStr">
        <is>
          <t>0.693</t>
        </is>
      </c>
    </row>
    <row r="36">
      <c r="A36" t="inlineStr">
        <is>
          <t>C(pathologic_T)[T.3.0]</t>
        </is>
      </c>
      <c r="B36" t="n">
        <v>-28.651</v>
      </c>
      <c r="C36" t="inlineStr">
        <is>
          <t>-89.113-31.812</t>
        </is>
      </c>
      <c r="D36" t="inlineStr">
        <is>
          <t>0.352</t>
        </is>
      </c>
    </row>
    <row r="37">
      <c r="A37" t="inlineStr">
        <is>
          <t>C(pathologic_T)[T.4.0]</t>
        </is>
      </c>
      <c r="B37" t="n">
        <v>-25.088</v>
      </c>
      <c r="C37" t="inlineStr">
        <is>
          <t>-118.17-67.995</t>
        </is>
      </c>
      <c r="D37" t="inlineStr">
        <is>
          <t>0.597</t>
        </is>
      </c>
    </row>
    <row r="38">
      <c r="A38" t="inlineStr">
        <is>
          <t>age</t>
        </is>
      </c>
      <c r="B38" t="n">
        <v>-0.469</v>
      </c>
      <c r="C38" t="inlineStr">
        <is>
          <t>-2.572-1.634</t>
        </is>
      </c>
      <c r="D38" t="inlineStr">
        <is>
          <t>0.661</t>
        </is>
      </c>
    </row>
    <row r="39">
      <c r="A39" t="inlineStr">
        <is>
          <t>number_pack_years_smoked</t>
        </is>
      </c>
      <c r="B39" t="n">
        <v>-0.022</v>
      </c>
      <c r="C39" t="inlineStr">
        <is>
          <t>-0.581-0.538</t>
        </is>
      </c>
      <c r="D39" t="inlineStr">
        <is>
          <t>0.940</t>
        </is>
      </c>
    </row>
    <row r="40">
      <c r="A40" t="inlineStr"/>
      <c r="B40" t="inlineStr"/>
      <c r="C40" t="inlineStr"/>
      <c r="D40" t="inlineStr"/>
    </row>
    <row r="41">
      <c r="A41">
        <f>== [ Model: Base + Pathologic N ] ===</f>
        <v/>
      </c>
      <c r="B41" t="inlineStr"/>
      <c r="C41" t="inlineStr"/>
      <c r="D41" t="inlineStr"/>
    </row>
    <row r="42">
      <c r="A42" t="inlineStr">
        <is>
          <t>Dependent Variable (Y)</t>
        </is>
      </c>
      <c r="B42" t="inlineStr">
        <is>
          <t>NTRK3expression</t>
        </is>
      </c>
      <c r="C42" t="inlineStr"/>
      <c r="D42" t="inlineStr"/>
    </row>
    <row r="43">
      <c r="A43" t="inlineStr">
        <is>
          <t>Model Formula</t>
        </is>
      </c>
      <c r="B43" t="inlineStr">
        <is>
          <t>NTRK3expression ~ age + number_pack_years_smoked + C(gender) + C(pathologic_N)</t>
        </is>
      </c>
      <c r="C43" t="inlineStr"/>
      <c r="D43" t="inlineStr"/>
    </row>
    <row r="44">
      <c r="A44" t="inlineStr">
        <is>
          <t>R-squared</t>
        </is>
      </c>
      <c r="B44" t="inlineStr">
        <is>
          <t>0.0084</t>
        </is>
      </c>
      <c r="C44" t="inlineStr"/>
      <c r="D44" t="inlineStr"/>
    </row>
    <row r="45">
      <c r="A45" t="inlineStr">
        <is>
          <t>Prob (F-statistic)</t>
        </is>
      </c>
      <c r="B45" t="inlineStr">
        <is>
          <t>7.5925e-01</t>
        </is>
      </c>
      <c r="C45" t="inlineStr"/>
      <c r="D45" t="inlineStr"/>
    </row>
    <row r="46">
      <c r="A46" t="inlineStr">
        <is>
          <t>--- [ Coefficients ] ---</t>
        </is>
      </c>
      <c r="B46" t="inlineStr"/>
      <c r="C46" t="inlineStr"/>
      <c r="D46" t="inlineStr"/>
    </row>
    <row r="47">
      <c r="A47" t="inlineStr">
        <is>
          <t>Intercept</t>
        </is>
      </c>
      <c r="B47" t="n">
        <v>67.45399999999999</v>
      </c>
      <c r="C47" t="inlineStr">
        <is>
          <t>-84.834-219.742</t>
        </is>
      </c>
      <c r="D47" t="inlineStr">
        <is>
          <t>0.384</t>
        </is>
      </c>
    </row>
    <row r="48">
      <c r="A48" t="inlineStr">
        <is>
          <t>C(gender)[T.MALE]</t>
        </is>
      </c>
      <c r="B48" t="n">
        <v>18.313</v>
      </c>
      <c r="C48" t="inlineStr">
        <is>
          <t>-21.651-58.277</t>
        </is>
      </c>
      <c r="D48" t="inlineStr">
        <is>
          <t>0.368</t>
        </is>
      </c>
    </row>
    <row r="49">
      <c r="A49" t="inlineStr">
        <is>
          <t>C(pathologic_N)[T.1.0]</t>
        </is>
      </c>
      <c r="B49" t="n">
        <v>-27.473</v>
      </c>
      <c r="C49" t="inlineStr">
        <is>
          <t>-68.068-13.121</t>
        </is>
      </c>
      <c r="D49" t="inlineStr">
        <is>
          <t>0.184</t>
        </is>
      </c>
    </row>
    <row r="50">
      <c r="A50" t="inlineStr">
        <is>
          <t>C(pathologic_N)[T.2.0]</t>
        </is>
      </c>
      <c r="B50" t="n">
        <v>-32.899</v>
      </c>
      <c r="C50" t="inlineStr">
        <is>
          <t>-98.557-32.759</t>
        </is>
      </c>
      <c r="D50" t="inlineStr">
        <is>
          <t>0.325</t>
        </is>
      </c>
    </row>
    <row r="51">
      <c r="A51" t="inlineStr">
        <is>
          <t>C(pathologic_N)[T.3.0]</t>
        </is>
      </c>
      <c r="B51" t="n">
        <v>-26.794</v>
      </c>
      <c r="C51" t="inlineStr">
        <is>
          <t>-204.671-151.082</t>
        </is>
      </c>
      <c r="D51" t="inlineStr">
        <is>
          <t>0.767</t>
        </is>
      </c>
    </row>
    <row r="52">
      <c r="A52" t="inlineStr">
        <is>
          <t>age</t>
        </is>
      </c>
      <c r="B52" t="n">
        <v>-0.656</v>
      </c>
      <c r="C52" t="inlineStr">
        <is>
          <t>-2.811-1.5</t>
        </is>
      </c>
      <c r="D52" t="inlineStr">
        <is>
          <t>0.550</t>
        </is>
      </c>
    </row>
    <row r="53">
      <c r="A53" t="inlineStr">
        <is>
          <t>number_pack_years_smoked</t>
        </is>
      </c>
      <c r="B53" t="n">
        <v>-0.017</v>
      </c>
      <c r="C53" t="inlineStr">
        <is>
          <t>-0.58-0.546</t>
        </is>
      </c>
      <c r="D53" t="inlineStr">
        <is>
          <t>0.953</t>
        </is>
      </c>
    </row>
    <row r="54">
      <c r="A54" t="inlineStr"/>
      <c r="B54" t="inlineStr"/>
      <c r="C54" t="inlineStr"/>
      <c r="D54" t="inlineStr"/>
    </row>
    <row r="55">
      <c r="A55">
        <f>== [ Model: Base + Pathologic M ] ===</f>
        <v/>
      </c>
      <c r="B55" t="inlineStr"/>
      <c r="C55" t="inlineStr"/>
      <c r="D55" t="inlineStr"/>
    </row>
    <row r="56">
      <c r="A56" t="inlineStr">
        <is>
          <t>Dependent Variable (Y)</t>
        </is>
      </c>
      <c r="B56" t="inlineStr">
        <is>
          <t>NTRK3expression</t>
        </is>
      </c>
      <c r="C56" t="inlineStr"/>
      <c r="D56" t="inlineStr"/>
    </row>
    <row r="57">
      <c r="A57" t="inlineStr">
        <is>
          <t>Model Formula</t>
        </is>
      </c>
      <c r="B57" t="inlineStr">
        <is>
          <t>NTRK3expression ~ age + number_pack_years_smoked + C(gender) + C(pathologic_M)</t>
        </is>
      </c>
      <c r="C57" t="inlineStr"/>
      <c r="D57" t="inlineStr"/>
    </row>
    <row r="58">
      <c r="A58" t="inlineStr">
        <is>
          <t>R-squared</t>
        </is>
      </c>
      <c r="B58" t="inlineStr">
        <is>
          <t>0.0024</t>
        </is>
      </c>
      <c r="C58" t="inlineStr"/>
      <c r="D58" t="inlineStr"/>
    </row>
    <row r="59">
      <c r="A59" t="inlineStr">
        <is>
          <t>Prob (F-statistic)</t>
        </is>
      </c>
      <c r="B59" t="inlineStr">
        <is>
          <t>9.3319e-01</t>
        </is>
      </c>
      <c r="C59" t="inlineStr"/>
      <c r="D59" t="inlineStr"/>
    </row>
    <row r="60">
      <c r="A60" t="inlineStr">
        <is>
          <t>--- [ Coefficients ] ---</t>
        </is>
      </c>
      <c r="B60" t="inlineStr"/>
      <c r="C60" t="inlineStr"/>
      <c r="D60" t="inlineStr"/>
    </row>
    <row r="61">
      <c r="A61" t="inlineStr">
        <is>
          <t>Intercept</t>
        </is>
      </c>
      <c r="B61" t="n">
        <v>39.046</v>
      </c>
      <c r="C61" t="inlineStr">
        <is>
          <t>-120.964-199.056</t>
        </is>
      </c>
      <c r="D61" t="inlineStr">
        <is>
          <t>0.632</t>
        </is>
      </c>
    </row>
    <row r="62">
      <c r="A62" t="inlineStr">
        <is>
          <t>C(gender)[T.MALE]</t>
        </is>
      </c>
      <c r="B62" t="n">
        <v>11.822</v>
      </c>
      <c r="C62" t="inlineStr">
        <is>
          <t>-30.635-54.279</t>
        </is>
      </c>
      <c r="D62" t="inlineStr">
        <is>
          <t>0.584</t>
        </is>
      </c>
    </row>
    <row r="63">
      <c r="A63" t="inlineStr">
        <is>
          <t>C(pathologic_M)[T.1.0]</t>
        </is>
      </c>
      <c r="B63" t="n">
        <v>-16.614</v>
      </c>
      <c r="C63" t="inlineStr">
        <is>
          <t>-157.544-124.316</t>
        </is>
      </c>
      <c r="D63" t="inlineStr">
        <is>
          <t>0.817</t>
        </is>
      </c>
    </row>
    <row r="64">
      <c r="A64" t="inlineStr">
        <is>
          <t>age</t>
        </is>
      </c>
      <c r="B64" t="n">
        <v>-0.487</v>
      </c>
      <c r="C64" t="inlineStr">
        <is>
          <t>-2.761-1.786</t>
        </is>
      </c>
      <c r="D64" t="inlineStr">
        <is>
          <t>0.674</t>
        </is>
      </c>
    </row>
    <row r="65">
      <c r="A65" t="inlineStr">
        <is>
          <t>number_pack_years_smoked</t>
        </is>
      </c>
      <c r="B65" t="n">
        <v>0.146</v>
      </c>
      <c r="C65" t="inlineStr">
        <is>
          <t>-0.452-0.743</t>
        </is>
      </c>
      <c r="D65" t="inlineStr">
        <is>
          <t>0.632</t>
        </is>
      </c>
    </row>
    <row r="66">
      <c r="A66" t="inlineStr"/>
      <c r="B66" t="inlineStr"/>
      <c r="C66" t="inlineStr"/>
      <c r="D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NTRK3</t>
        </is>
      </c>
      <c r="D2" t="inlineStr">
        <is>
          <t>8.437</t>
        </is>
      </c>
      <c r="E2" t="inlineStr">
        <is>
          <t>0.038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NTRK3</t>
        </is>
      </c>
      <c r="D3" t="inlineStr">
        <is>
          <t>1.276</t>
        </is>
      </c>
      <c r="E3" t="inlineStr">
        <is>
          <t>0.735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2026-08-12T06:42:08Z</dcterms:created>
  <dcterms:modified xsi:type="dcterms:W3CDTF">2026-08-12T06:42:08Z</dcterms:modified>
</cp:coreProperties>
</file>
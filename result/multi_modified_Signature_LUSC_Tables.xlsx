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  <sheet name="Table 2" sheetId="2" state="visible" r:id="rId2"/>
    <sheet name="Table 3" sheetId="3" state="visible" r:id="rId3"/>
    <sheet name="Table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</row>
    <row r="3">
      <c r="A3" t="inlineStr">
        <is>
          <t xml:space="preserve">  0.0</t>
        </is>
      </c>
      <c r="B3" t="n">
        <v>89</v>
      </c>
      <c r="C3" t="n">
        <v>100</v>
      </c>
      <c r="D3" t="inlineStr">
        <is>
          <t>0.317</t>
        </is>
      </c>
    </row>
    <row r="4">
      <c r="A4" t="inlineStr">
        <is>
          <t xml:space="preserve">  1.0</t>
        </is>
      </c>
      <c r="B4" t="n">
        <v>156</v>
      </c>
      <c r="C4" t="n">
        <v>143</v>
      </c>
      <c r="D4" t="inlineStr"/>
    </row>
    <row r="5">
      <c r="A5" t="inlineStr">
        <is>
          <t>gender</t>
        </is>
      </c>
      <c r="B5" t="inlineStr"/>
      <c r="C5" t="inlineStr"/>
      <c r="D5" t="inlineStr"/>
    </row>
    <row r="6">
      <c r="A6" t="inlineStr">
        <is>
          <t>  </t>
        </is>
      </c>
      <c r="B6" t="n">
        <v>0</v>
      </c>
      <c r="C6" t="n">
        <v>1</v>
      </c>
      <c r="D6" t="inlineStr">
        <is>
          <t>0.448</t>
        </is>
      </c>
    </row>
    <row r="7">
      <c r="A7" t="inlineStr">
        <is>
          <t xml:space="preserve">  FEMALE</t>
        </is>
      </c>
      <c r="B7" t="n">
        <v>67</v>
      </c>
      <c r="C7" t="n">
        <v>59</v>
      </c>
      <c r="D7" t="inlineStr"/>
    </row>
    <row r="8">
      <c r="A8" t="inlineStr">
        <is>
          <t xml:space="preserve">  MALE</t>
        </is>
      </c>
      <c r="B8" t="n">
        <v>178</v>
      </c>
      <c r="C8" t="n">
        <v>184</v>
      </c>
      <c r="D8" t="inlineStr"/>
    </row>
    <row r="9">
      <c r="A9" t="inlineStr">
        <is>
          <t>pathologic_stage</t>
        </is>
      </c>
      <c r="B9" t="inlineStr"/>
      <c r="C9" t="inlineStr"/>
      <c r="D9" t="inlineStr"/>
    </row>
    <row r="10">
      <c r="A10" t="inlineStr">
        <is>
          <t xml:space="preserve">  1.0</t>
        </is>
      </c>
      <c r="B10" t="n">
        <v>120</v>
      </c>
      <c r="C10" t="n">
        <v>118</v>
      </c>
      <c r="D10" t="inlineStr">
        <is>
          <t>0.204</t>
        </is>
      </c>
    </row>
    <row r="11">
      <c r="A11" t="inlineStr">
        <is>
          <t xml:space="preserve">  2.0</t>
        </is>
      </c>
      <c r="B11" t="n">
        <v>79</v>
      </c>
      <c r="C11" t="n">
        <v>77</v>
      </c>
      <c r="D11" t="inlineStr"/>
    </row>
    <row r="12">
      <c r="A12" t="inlineStr">
        <is>
          <t xml:space="preserve">  3.0</t>
        </is>
      </c>
      <c r="B12" t="n">
        <v>37</v>
      </c>
      <c r="C12" t="n">
        <v>46</v>
      </c>
      <c r="D12" t="inlineStr"/>
    </row>
    <row r="13">
      <c r="A13" t="inlineStr">
        <is>
          <t xml:space="preserve">  4.0</t>
        </is>
      </c>
      <c r="B13" t="n">
        <v>6</v>
      </c>
      <c r="C13" t="n">
        <v>1</v>
      </c>
      <c r="D13" t="inlineStr"/>
    </row>
    <row r="14">
      <c r="A14" t="inlineStr">
        <is>
          <t>pathologic_M</t>
        </is>
      </c>
      <c r="B14" t="inlineStr"/>
      <c r="C14" t="inlineStr"/>
      <c r="D14" t="inlineStr"/>
    </row>
    <row r="15">
      <c r="A15" t="inlineStr">
        <is>
          <t xml:space="preserve">  0.0</t>
        </is>
      </c>
      <c r="B15" t="n">
        <v>197</v>
      </c>
      <c r="C15" t="n">
        <v>204</v>
      </c>
      <c r="D15" t="inlineStr">
        <is>
          <t>0.124</t>
        </is>
      </c>
    </row>
    <row r="16">
      <c r="A16" t="inlineStr">
        <is>
          <t xml:space="preserve">  1.0</t>
        </is>
      </c>
      <c r="B16" t="n">
        <v>6</v>
      </c>
      <c r="C16" t="n">
        <v>1</v>
      </c>
      <c r="D16" t="inlineStr"/>
    </row>
    <row r="17">
      <c r="A17" t="inlineStr">
        <is>
          <t>pathologic_N</t>
        </is>
      </c>
      <c r="B17" t="inlineStr"/>
      <c r="C17" t="inlineStr"/>
      <c r="D17" t="inlineStr"/>
    </row>
    <row r="18">
      <c r="A18" t="inlineStr">
        <is>
          <t xml:space="preserve">  0.0</t>
        </is>
      </c>
      <c r="B18" t="n">
        <v>164</v>
      </c>
      <c r="C18" t="n">
        <v>147</v>
      </c>
      <c r="D18" t="inlineStr">
        <is>
          <t>0.138</t>
        </is>
      </c>
    </row>
    <row r="19">
      <c r="A19" t="inlineStr">
        <is>
          <t xml:space="preserve">  1.0</t>
        </is>
      </c>
      <c r="B19" t="n">
        <v>60</v>
      </c>
      <c r="C19" t="n">
        <v>66</v>
      </c>
      <c r="D19" t="inlineStr"/>
    </row>
    <row r="20">
      <c r="A20" t="inlineStr">
        <is>
          <t xml:space="preserve">  2.0</t>
        </is>
      </c>
      <c r="B20" t="n">
        <v>15</v>
      </c>
      <c r="C20" t="n">
        <v>25</v>
      </c>
      <c r="D20" t="inlineStr"/>
    </row>
    <row r="21">
      <c r="A21" t="inlineStr">
        <is>
          <t xml:space="preserve">  3.0</t>
        </is>
      </c>
      <c r="B21" t="n">
        <v>1</v>
      </c>
      <c r="C21" t="n">
        <v>4</v>
      </c>
      <c r="D21" t="inlineStr"/>
    </row>
    <row r="22">
      <c r="A22" t="inlineStr">
        <is>
          <t>pathologic_T</t>
        </is>
      </c>
      <c r="B22" t="inlineStr"/>
      <c r="C22" t="inlineStr"/>
      <c r="D22" t="inlineStr"/>
    </row>
    <row r="23">
      <c r="A23" t="inlineStr">
        <is>
          <t xml:space="preserve">  1.0</t>
        </is>
      </c>
      <c r="B23" t="n">
        <v>50</v>
      </c>
      <c r="C23" t="n">
        <v>59</v>
      </c>
      <c r="D23" t="inlineStr">
        <is>
          <t>0.377</t>
        </is>
      </c>
    </row>
    <row r="24">
      <c r="A24" t="inlineStr">
        <is>
          <t xml:space="preserve">  2.0</t>
        </is>
      </c>
      <c r="B24" t="n">
        <v>143</v>
      </c>
      <c r="C24" t="n">
        <v>143</v>
      </c>
      <c r="D24" t="inlineStr"/>
    </row>
    <row r="25">
      <c r="A25" t="inlineStr">
        <is>
          <t xml:space="preserve">  3.0</t>
        </is>
      </c>
      <c r="B25" t="n">
        <v>37</v>
      </c>
      <c r="C25" t="n">
        <v>33</v>
      </c>
      <c r="D25" t="inlineStr"/>
    </row>
    <row r="26">
      <c r="A26" t="inlineStr">
        <is>
          <t xml:space="preserve">  4.0</t>
        </is>
      </c>
      <c r="B26" t="n">
        <v>15</v>
      </c>
      <c r="C26" t="n">
        <v>8</v>
      </c>
      <c r="D26" t="inlineStr"/>
    </row>
    <row r="27">
      <c r="A27" t="inlineStr">
        <is>
          <t>SmokingStatus</t>
        </is>
      </c>
      <c r="B27" t="inlineStr"/>
      <c r="C27" t="inlineStr"/>
      <c r="D27" t="inlineStr"/>
    </row>
    <row r="28">
      <c r="A28" t="inlineStr">
        <is>
          <t xml:space="preserve">  0.0</t>
        </is>
      </c>
      <c r="B28" t="n">
        <v>38</v>
      </c>
      <c r="C28" t="n">
        <v>38</v>
      </c>
      <c r="D28" t="inlineStr">
        <is>
          <t>1.000</t>
        </is>
      </c>
    </row>
    <row r="29">
      <c r="A29" t="inlineStr">
        <is>
          <t xml:space="preserve">  1.0</t>
        </is>
      </c>
      <c r="B29" t="n">
        <v>207</v>
      </c>
      <c r="C29" t="n">
        <v>206</v>
      </c>
      <c r="D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SignatureScore_LOXL2_ITGB1_PLAUR_SNAI1_VEGFC</t>
        </is>
      </c>
      <c r="D1" s="1" t="inlineStr">
        <is>
          <t>number_pack_years_smoked</t>
        </is>
      </c>
      <c r="E1" s="1" t="inlineStr">
        <is>
          <t>age</t>
        </is>
      </c>
      <c r="F1" s="1" t="inlineStr">
        <is>
          <t>SOX2Expression</t>
        </is>
      </c>
      <c r="G1" s="1" t="inlineStr">
        <is>
          <t>PIK3CAExpression</t>
        </is>
      </c>
      <c r="H1" s="1" t="inlineStr">
        <is>
          <t>NOTCH1Expression</t>
        </is>
      </c>
    </row>
    <row r="2">
      <c r="A2" t="inlineStr">
        <is>
          <t>SignatureScore_LOXL2_ITGB1_PLAUR_SNAI1_VEGFC</t>
        </is>
      </c>
      <c r="B2" t="inlineStr">
        <is>
          <t>R</t>
        </is>
      </c>
      <c r="C2" t="inlineStr">
        <is>
          <t>1</t>
        </is>
      </c>
      <c r="D2" t="inlineStr">
        <is>
          <t>0.026</t>
        </is>
      </c>
      <c r="E2" t="inlineStr">
        <is>
          <t>0.020</t>
        </is>
      </c>
      <c r="F2" t="inlineStr">
        <is>
          <t>-0.447</t>
        </is>
      </c>
      <c r="G2" t="inlineStr">
        <is>
          <t>-0.245</t>
        </is>
      </c>
      <c r="H2" t="inlineStr">
        <is>
          <t>-0.088</t>
        </is>
      </c>
    </row>
    <row r="3">
      <c r="A3" t="inlineStr"/>
      <c r="B3" t="inlineStr">
        <is>
          <t>P</t>
        </is>
      </c>
      <c r="C3" t="inlineStr"/>
      <c r="D3" t="inlineStr">
        <is>
          <t>0.598</t>
        </is>
      </c>
      <c r="E3" t="inlineStr">
        <is>
          <t>0.665</t>
        </is>
      </c>
      <c r="F3" t="inlineStr">
        <is>
          <t>&lt;0.001</t>
        </is>
      </c>
      <c r="G3" t="inlineStr">
        <is>
          <t>&lt;0.001</t>
        </is>
      </c>
      <c r="H3" t="inlineStr">
        <is>
          <t>0.053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0.026</t>
        </is>
      </c>
      <c r="D4" t="inlineStr">
        <is>
          <t>1</t>
        </is>
      </c>
      <c r="E4" t="inlineStr">
        <is>
          <t>0.045</t>
        </is>
      </c>
      <c r="F4" t="inlineStr">
        <is>
          <t>-0.040</t>
        </is>
      </c>
      <c r="G4" t="inlineStr">
        <is>
          <t>0.018</t>
        </is>
      </c>
      <c r="H4" t="inlineStr">
        <is>
          <t>0.001</t>
        </is>
      </c>
    </row>
    <row r="5">
      <c r="A5" t="inlineStr"/>
      <c r="B5" t="inlineStr">
        <is>
          <t>P</t>
        </is>
      </c>
      <c r="C5" t="inlineStr">
        <is>
          <t>0.598</t>
        </is>
      </c>
      <c r="D5" t="inlineStr"/>
      <c r="E5" t="inlineStr">
        <is>
          <t>0.359</t>
        </is>
      </c>
      <c r="F5" t="inlineStr">
        <is>
          <t>0.415</t>
        </is>
      </c>
      <c r="G5" t="inlineStr">
        <is>
          <t>0.717</t>
        </is>
      </c>
      <c r="H5" t="inlineStr">
        <is>
          <t>0.981</t>
        </is>
      </c>
    </row>
    <row r="6">
      <c r="A6" t="inlineStr">
        <is>
          <t>age</t>
        </is>
      </c>
      <c r="B6" t="inlineStr">
        <is>
          <t>R</t>
        </is>
      </c>
      <c r="C6" t="inlineStr">
        <is>
          <t>0.020</t>
        </is>
      </c>
      <c r="D6" t="inlineStr">
        <is>
          <t>0.045</t>
        </is>
      </c>
      <c r="E6" t="inlineStr">
        <is>
          <t>1</t>
        </is>
      </c>
      <c r="F6" t="inlineStr">
        <is>
          <t>-0.116</t>
        </is>
      </c>
      <c r="G6" t="inlineStr">
        <is>
          <t>-0.025</t>
        </is>
      </c>
      <c r="H6" t="inlineStr">
        <is>
          <t>-0.012</t>
        </is>
      </c>
    </row>
    <row r="7">
      <c r="A7" t="inlineStr"/>
      <c r="B7" t="inlineStr">
        <is>
          <t>P</t>
        </is>
      </c>
      <c r="C7" t="inlineStr">
        <is>
          <t>0.665</t>
        </is>
      </c>
      <c r="D7" t="inlineStr">
        <is>
          <t>0.359</t>
        </is>
      </c>
      <c r="E7" t="inlineStr"/>
      <c r="F7" t="inlineStr">
        <is>
          <t>0.011</t>
        </is>
      </c>
      <c r="G7" t="inlineStr">
        <is>
          <t>0.584</t>
        </is>
      </c>
      <c r="H7" t="inlineStr">
        <is>
          <t>0.785</t>
        </is>
      </c>
    </row>
    <row r="8">
      <c r="A8" t="inlineStr">
        <is>
          <t>SOX2Expression</t>
        </is>
      </c>
      <c r="B8" t="inlineStr">
        <is>
          <t>R</t>
        </is>
      </c>
      <c r="C8" t="inlineStr">
        <is>
          <t>-0.447</t>
        </is>
      </c>
      <c r="D8" t="inlineStr">
        <is>
          <t>-0.040</t>
        </is>
      </c>
      <c r="E8" t="inlineStr">
        <is>
          <t>-0.116</t>
        </is>
      </c>
      <c r="F8" t="inlineStr">
        <is>
          <t>1</t>
        </is>
      </c>
      <c r="G8" t="inlineStr">
        <is>
          <t>0.528</t>
        </is>
      </c>
      <c r="H8" t="inlineStr">
        <is>
          <t>0.004</t>
        </is>
      </c>
    </row>
    <row r="9">
      <c r="A9" t="inlineStr"/>
      <c r="B9" t="inlineStr">
        <is>
          <t>P</t>
        </is>
      </c>
      <c r="C9" t="inlineStr">
        <is>
          <t>&lt;0.001</t>
        </is>
      </c>
      <c r="D9" t="inlineStr">
        <is>
          <t>0.415</t>
        </is>
      </c>
      <c r="E9" t="inlineStr">
        <is>
          <t>0.011</t>
        </is>
      </c>
      <c r="F9" t="inlineStr"/>
      <c r="G9" t="inlineStr">
        <is>
          <t>&lt;0.001</t>
        </is>
      </c>
      <c r="H9" t="inlineStr">
        <is>
          <t>0.933</t>
        </is>
      </c>
    </row>
    <row r="10">
      <c r="A10" t="inlineStr">
        <is>
          <t>PIK3CAExpression</t>
        </is>
      </c>
      <c r="B10" t="inlineStr">
        <is>
          <t>R</t>
        </is>
      </c>
      <c r="C10" t="inlineStr">
        <is>
          <t>-0.245</t>
        </is>
      </c>
      <c r="D10" t="inlineStr">
        <is>
          <t>0.018</t>
        </is>
      </c>
      <c r="E10" t="inlineStr">
        <is>
          <t>-0.025</t>
        </is>
      </c>
      <c r="F10" t="inlineStr">
        <is>
          <t>0.528</t>
        </is>
      </c>
      <c r="G10" t="inlineStr">
        <is>
          <t>1</t>
        </is>
      </c>
      <c r="H10" t="inlineStr">
        <is>
          <t>-0.032</t>
        </is>
      </c>
    </row>
    <row r="11">
      <c r="A11" t="inlineStr"/>
      <c r="B11" t="inlineStr">
        <is>
          <t>P</t>
        </is>
      </c>
      <c r="C11" t="inlineStr">
        <is>
          <t>&lt;0.001</t>
        </is>
      </c>
      <c r="D11" t="inlineStr">
        <is>
          <t>0.717</t>
        </is>
      </c>
      <c r="E11" t="inlineStr">
        <is>
          <t>0.584</t>
        </is>
      </c>
      <c r="F11" t="inlineStr">
        <is>
          <t>&lt;0.001</t>
        </is>
      </c>
      <c r="G11" t="inlineStr"/>
      <c r="H11" t="inlineStr">
        <is>
          <t>0.482</t>
        </is>
      </c>
    </row>
    <row r="12">
      <c r="A12" t="inlineStr">
        <is>
          <t>NOTCH1Expression</t>
        </is>
      </c>
      <c r="B12" t="inlineStr">
        <is>
          <t>R</t>
        </is>
      </c>
      <c r="C12" t="inlineStr">
        <is>
          <t>-0.088</t>
        </is>
      </c>
      <c r="D12" t="inlineStr">
        <is>
          <t>0.001</t>
        </is>
      </c>
      <c r="E12" t="inlineStr">
        <is>
          <t>-0.012</t>
        </is>
      </c>
      <c r="F12" t="inlineStr">
        <is>
          <t>0.004</t>
        </is>
      </c>
      <c r="G12" t="inlineStr">
        <is>
          <t>-0.032</t>
        </is>
      </c>
      <c r="H12" t="inlineStr">
        <is>
          <t>1</t>
        </is>
      </c>
    </row>
    <row r="13">
      <c r="A13" t="inlineStr"/>
      <c r="B13" t="inlineStr">
        <is>
          <t>P</t>
        </is>
      </c>
      <c r="C13" t="inlineStr">
        <is>
          <t>0.053</t>
        </is>
      </c>
      <c r="D13" t="inlineStr">
        <is>
          <t>0.981</t>
        </is>
      </c>
      <c r="E13" t="inlineStr">
        <is>
          <t>0.785</t>
        </is>
      </c>
      <c r="F13" t="inlineStr">
        <is>
          <t>0.933</t>
        </is>
      </c>
      <c r="G13" t="inlineStr">
        <is>
          <t>0.482</t>
        </is>
      </c>
      <c r="H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P-value</t>
        </is>
      </c>
    </row>
    <row r="2">
      <c r="A2" t="inlineStr">
        <is>
          <t>age</t>
        </is>
      </c>
      <c r="B2" t="n">
        <v>1.021</v>
      </c>
      <c r="C2" t="inlineStr">
        <is>
          <t>0.032</t>
        </is>
      </c>
    </row>
    <row r="3">
      <c r="A3" t="inlineStr">
        <is>
          <t>number_pack_years_smoked</t>
        </is>
      </c>
      <c r="B3" t="n">
        <v>1</v>
      </c>
      <c r="C3" t="inlineStr">
        <is>
          <t>0.917</t>
        </is>
      </c>
    </row>
    <row r="4">
      <c r="A4" t="inlineStr">
        <is>
          <t>SOX2Expression</t>
        </is>
      </c>
      <c r="B4" t="n">
        <v>1</v>
      </c>
      <c r="C4" t="inlineStr">
        <is>
          <t>0.517</t>
        </is>
      </c>
    </row>
    <row r="5">
      <c r="A5" t="inlineStr">
        <is>
          <t>PIK3CAExpression</t>
        </is>
      </c>
      <c r="B5" t="n">
        <v>1</v>
      </c>
      <c r="C5" t="inlineStr">
        <is>
          <t>0.530</t>
        </is>
      </c>
    </row>
    <row r="6">
      <c r="A6" t="inlineStr">
        <is>
          <t>NOTCH1Expression</t>
        </is>
      </c>
      <c r="B6" t="n">
        <v>1</v>
      </c>
      <c r="C6" t="inlineStr">
        <is>
          <t>0.659</t>
        </is>
      </c>
    </row>
    <row r="7">
      <c r="A7" t="inlineStr">
        <is>
          <t>SignatureGroup_LOXL2_ITGB1_PLAUR_SNAI1_VEGFC_Low</t>
        </is>
      </c>
      <c r="B7" t="n">
        <v>0.644</v>
      </c>
      <c r="C7" t="inlineStr">
        <is>
          <t>0.011</t>
        </is>
      </c>
    </row>
    <row r="8">
      <c r="A8" t="inlineStr">
        <is>
          <t>gender_MALE</t>
        </is>
      </c>
      <c r="B8" t="n">
        <v>1.294</v>
      </c>
      <c r="C8" t="inlineStr">
        <is>
          <t>0.154</t>
        </is>
      </c>
    </row>
    <row r="9">
      <c r="A9" t="inlineStr">
        <is>
          <t>pathologic_stage_2.0</t>
        </is>
      </c>
      <c r="B9" t="n">
        <v>1.06</v>
      </c>
      <c r="C9" t="inlineStr">
        <is>
          <t>0.745</t>
        </is>
      </c>
    </row>
    <row r="10">
      <c r="A10" t="inlineStr">
        <is>
          <t>pathologic_stage_3.0</t>
        </is>
      </c>
      <c r="B10" t="n">
        <v>1.439</v>
      </c>
      <c r="C10" t="inlineStr">
        <is>
          <t>0.074</t>
        </is>
      </c>
    </row>
    <row r="11">
      <c r="A11" t="inlineStr">
        <is>
          <t>pathologic_stage_4.0</t>
        </is>
      </c>
      <c r="B11" t="n">
        <v>2.822</v>
      </c>
      <c r="C11" t="inlineStr">
        <is>
          <t>0.028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>
        <f>== [ Model: Pathologic Stage ] ===</f>
        <v/>
      </c>
      <c r="B2" t="inlineStr"/>
      <c r="C2" t="inlineStr"/>
      <c r="D2" t="inlineStr"/>
      <c r="E2" t="inlineStr"/>
    </row>
    <row r="3">
      <c r="A3" t="inlineStr">
        <is>
          <t>Dependent Variable (Y)</t>
        </is>
      </c>
      <c r="B3" t="inlineStr">
        <is>
          <t>SignatureScore_LOXL2_ITGB1_PLAUR_SNAI1_VEGFC</t>
        </is>
      </c>
      <c r="C3" t="inlineStr"/>
      <c r="D3" t="inlineStr"/>
      <c r="E3" t="inlineStr"/>
    </row>
    <row r="4">
      <c r="A4" t="inlineStr">
        <is>
          <t>Model Formula</t>
        </is>
      </c>
      <c r="B4" t="inlineStr">
        <is>
          <t>SignatureScore_LOXL2_ITGB1_PLAUR_SNAI1_VEGFC ~ age + C(gender) + number_pack_years_smoked + SOX2Expression + PIK3CAExpression + NOTCH1Expression + C(pathologic_stage)</t>
        </is>
      </c>
      <c r="C4" t="inlineStr"/>
      <c r="D4" t="inlineStr"/>
      <c r="E4" t="inlineStr"/>
    </row>
    <row r="5">
      <c r="A5" t="inlineStr">
        <is>
          <t>R-squared</t>
        </is>
      </c>
      <c r="B5" t="inlineStr">
        <is>
          <t>0.2069</t>
        </is>
      </c>
      <c r="C5" t="inlineStr"/>
      <c r="D5" t="inlineStr"/>
      <c r="E5" t="inlineStr"/>
    </row>
    <row r="6">
      <c r="A6" t="inlineStr">
        <is>
          <t>Prob (F-statistic)</t>
        </is>
      </c>
      <c r="B6" t="inlineStr">
        <is>
          <t>4.4518e-16</t>
        </is>
      </c>
      <c r="C6" t="inlineStr"/>
      <c r="D6" t="inlineStr"/>
      <c r="E6" t="inlineStr"/>
    </row>
    <row r="7">
      <c r="A7" t="inlineStr">
        <is>
          <t>--- [ Coefficients ] ---</t>
        </is>
      </c>
      <c r="B7" t="inlineStr"/>
      <c r="C7" t="inlineStr"/>
      <c r="D7" t="inlineStr"/>
      <c r="E7" t="inlineStr"/>
    </row>
    <row r="8">
      <c r="A8" t="inlineStr">
        <is>
          <t>Intercept</t>
        </is>
      </c>
      <c r="B8" t="n">
        <v>0.289</v>
      </c>
      <c r="C8" t="n">
        <v>-0.2765</v>
      </c>
      <c r="D8" t="n">
        <v>0.8544</v>
      </c>
      <c r="E8" t="inlineStr">
        <is>
          <t>0.316</t>
        </is>
      </c>
    </row>
    <row r="9">
      <c r="A9" t="inlineStr">
        <is>
          <t>C(gender)[T.MALE]</t>
        </is>
      </c>
      <c r="B9" t="n">
        <v>-0.0211</v>
      </c>
      <c r="C9" t="n">
        <v>-0.1641</v>
      </c>
      <c r="D9" t="n">
        <v>0.1219</v>
      </c>
      <c r="E9" t="inlineStr">
        <is>
          <t>0.772</t>
        </is>
      </c>
    </row>
    <row r="10">
      <c r="A10" t="inlineStr">
        <is>
          <t>C(pathologic_stage)[T.2.0]</t>
        </is>
      </c>
      <c r="B10" t="n">
        <v>0.1979</v>
      </c>
      <c r="C10" t="n">
        <v>0.0561</v>
      </c>
      <c r="D10" t="n">
        <v>0.3398</v>
      </c>
      <c r="E10" t="inlineStr">
        <is>
          <t>0.006</t>
        </is>
      </c>
    </row>
    <row r="11">
      <c r="A11" t="inlineStr">
        <is>
          <t>C(pathologic_stage)[T.3.0]</t>
        </is>
      </c>
      <c r="B11" t="n">
        <v>0.1015</v>
      </c>
      <c r="C11" t="n">
        <v>-0.0756</v>
      </c>
      <c r="D11" t="n">
        <v>0.2787</v>
      </c>
      <c r="E11" t="inlineStr">
        <is>
          <t>0.261</t>
        </is>
      </c>
    </row>
    <row r="12">
      <c r="A12" t="inlineStr">
        <is>
          <t>C(pathologic_stage)[T.4.0]</t>
        </is>
      </c>
      <c r="B12" t="n">
        <v>0.2281</v>
      </c>
      <c r="C12" t="n">
        <v>-0.2945</v>
      </c>
      <c r="D12" t="n">
        <v>0.7508</v>
      </c>
      <c r="E12" t="inlineStr">
        <is>
          <t>0.391</t>
        </is>
      </c>
    </row>
    <row r="13">
      <c r="A13" t="inlineStr">
        <is>
          <t>age</t>
        </is>
      </c>
      <c r="B13" t="n">
        <v>-0.0001</v>
      </c>
      <c r="C13" t="n">
        <v>-0.0078</v>
      </c>
      <c r="D13" t="n">
        <v>0.0076</v>
      </c>
      <c r="E13" t="inlineStr">
        <is>
          <t>0.979</t>
        </is>
      </c>
    </row>
    <row r="14">
      <c r="A14" t="inlineStr">
        <is>
          <t>number_pack_years_smoked</t>
        </is>
      </c>
      <c r="B14" t="n">
        <v>0.0002</v>
      </c>
      <c r="C14" t="n">
        <v>-0.0019</v>
      </c>
      <c r="D14" t="n">
        <v>0.0022</v>
      </c>
      <c r="E14" t="inlineStr">
        <is>
          <t>0.877</t>
        </is>
      </c>
    </row>
    <row r="15">
      <c r="A15" t="inlineStr">
        <is>
          <t>SOX2Expression</t>
        </is>
      </c>
      <c r="B15" t="n">
        <v>-0.0001</v>
      </c>
      <c r="C15" t="n">
        <v>-0.0001</v>
      </c>
      <c r="D15" t="n">
        <v>-0</v>
      </c>
      <c r="E15" t="inlineStr">
        <is>
          <t>&lt;0.001</t>
        </is>
      </c>
    </row>
    <row r="16">
      <c r="A16" t="inlineStr">
        <is>
          <t>PIK3CAExpression</t>
        </is>
      </c>
      <c r="B16" t="n">
        <v>-0</v>
      </c>
      <c r="C16" t="n">
        <v>-0.0001</v>
      </c>
      <c r="D16" t="n">
        <v>0.0001</v>
      </c>
      <c r="E16" t="inlineStr">
        <is>
          <t>0.783</t>
        </is>
      </c>
    </row>
    <row r="17">
      <c r="A17" t="inlineStr">
        <is>
          <t>NOTCH1Expression</t>
        </is>
      </c>
      <c r="B17" t="n">
        <v>-0</v>
      </c>
      <c r="C17" t="n">
        <v>-0.0001</v>
      </c>
      <c r="D17" t="n">
        <v>0</v>
      </c>
      <c r="E17" t="inlineStr">
        <is>
          <t>0.109</t>
        </is>
      </c>
    </row>
    <row r="18">
      <c r="A18" t="inlineStr"/>
      <c r="B18" t="inlineStr"/>
      <c r="C18" t="inlineStr"/>
      <c r="D18" t="inlineStr"/>
      <c r="E18" t="inlineStr"/>
    </row>
    <row r="19">
      <c r="A19">
        <f>== [ Model: Pathologic T ] ===</f>
        <v/>
      </c>
      <c r="B19" t="inlineStr"/>
      <c r="C19" t="inlineStr"/>
      <c r="D19" t="inlineStr"/>
      <c r="E19" t="inlineStr"/>
    </row>
    <row r="20">
      <c r="A20" t="inlineStr">
        <is>
          <t>Dependent Variable (Y)</t>
        </is>
      </c>
      <c r="B20" t="inlineStr">
        <is>
          <t>SignatureScore_LOXL2_ITGB1_PLAUR_SNAI1_VEGFC</t>
        </is>
      </c>
      <c r="C20" t="inlineStr"/>
      <c r="D20" t="inlineStr"/>
      <c r="E20" t="inlineStr"/>
    </row>
    <row r="21">
      <c r="A21" t="inlineStr">
        <is>
          <t>Model Formula</t>
        </is>
      </c>
      <c r="B21" t="inlineStr">
        <is>
          <t>SignatureScore_LOXL2_ITGB1_PLAUR_SNAI1_VEGFC ~ age + C(gender) + number_pack_years_smoked + SOX2Expression + PIK3CAExpression + NOTCH1Expression + C(pathologic_T)</t>
        </is>
      </c>
      <c r="C21" t="inlineStr"/>
      <c r="D21" t="inlineStr"/>
      <c r="E21" t="inlineStr"/>
    </row>
    <row r="22">
      <c r="A22" t="inlineStr">
        <is>
          <t>R-squared</t>
        </is>
      </c>
      <c r="B22" t="inlineStr">
        <is>
          <t>0.2067</t>
        </is>
      </c>
      <c r="C22" t="inlineStr"/>
      <c r="D22" t="inlineStr"/>
      <c r="E22" t="inlineStr"/>
    </row>
    <row r="23">
      <c r="A23" t="inlineStr">
        <is>
          <t>Prob (F-statistic)</t>
        </is>
      </c>
      <c r="B23" t="inlineStr">
        <is>
          <t>3.3552e-16</t>
        </is>
      </c>
      <c r="C23" t="inlineStr"/>
      <c r="D23" t="inlineStr"/>
      <c r="E23" t="inlineStr"/>
    </row>
    <row r="24">
      <c r="A24" t="inlineStr">
        <is>
          <t>--- [ Coefficients ] ---</t>
        </is>
      </c>
      <c r="B24" t="inlineStr"/>
      <c r="C24" t="inlineStr"/>
      <c r="D24" t="inlineStr"/>
      <c r="E24" t="inlineStr"/>
    </row>
    <row r="25">
      <c r="A25" t="inlineStr">
        <is>
          <t>Intercept</t>
        </is>
      </c>
      <c r="B25" t="n">
        <v>0.2709</v>
      </c>
      <c r="C25" t="n">
        <v>-0.2883</v>
      </c>
      <c r="D25" t="n">
        <v>0.8300999999999999</v>
      </c>
      <c r="E25" t="inlineStr">
        <is>
          <t>0.342</t>
        </is>
      </c>
    </row>
    <row r="26">
      <c r="A26" t="inlineStr">
        <is>
          <t>C(gender)[T.MALE]</t>
        </is>
      </c>
      <c r="B26" t="n">
        <v>-0.0249</v>
      </c>
      <c r="C26" t="n">
        <v>-0.1684</v>
      </c>
      <c r="D26" t="n">
        <v>0.1185</v>
      </c>
      <c r="E26" t="inlineStr">
        <is>
          <t>0.733</t>
        </is>
      </c>
    </row>
    <row r="27">
      <c r="A27" t="inlineStr">
        <is>
          <t>C(pathologic_T)[T.2.0]</t>
        </is>
      </c>
      <c r="B27" t="n">
        <v>0.1322</v>
      </c>
      <c r="C27" t="n">
        <v>-0.022</v>
      </c>
      <c r="D27" t="n">
        <v>0.2863</v>
      </c>
      <c r="E27" t="inlineStr">
        <is>
          <t>0.093</t>
        </is>
      </c>
    </row>
    <row r="28">
      <c r="A28" t="inlineStr">
        <is>
          <t>C(pathologic_T)[T.3.0]</t>
        </is>
      </c>
      <c r="B28" t="n">
        <v>0.3068</v>
      </c>
      <c r="C28" t="n">
        <v>0.0911</v>
      </c>
      <c r="D28" t="n">
        <v>0.5226</v>
      </c>
      <c r="E28" t="inlineStr">
        <is>
          <t>0.005</t>
        </is>
      </c>
    </row>
    <row r="29">
      <c r="A29" t="inlineStr">
        <is>
          <t>C(pathologic_T)[T.4.0]</t>
        </is>
      </c>
      <c r="B29" t="n">
        <v>0.2189</v>
      </c>
      <c r="C29" t="n">
        <v>-0.1125</v>
      </c>
      <c r="D29" t="n">
        <v>0.5503</v>
      </c>
      <c r="E29" t="inlineStr">
        <is>
          <t>0.195</t>
        </is>
      </c>
    </row>
    <row r="30">
      <c r="A30" t="inlineStr">
        <is>
          <t>age</t>
        </is>
      </c>
      <c r="B30" t="n">
        <v>-0.0007</v>
      </c>
      <c r="C30" t="n">
        <v>-0.0083</v>
      </c>
      <c r="D30" t="n">
        <v>0.0069</v>
      </c>
      <c r="E30" t="inlineStr">
        <is>
          <t>0.862</t>
        </is>
      </c>
    </row>
    <row r="31">
      <c r="A31" t="inlineStr">
        <is>
          <t>number_pack_years_smoked</t>
        </is>
      </c>
      <c r="B31" t="n">
        <v>0.0003</v>
      </c>
      <c r="C31" t="n">
        <v>-0.0017</v>
      </c>
      <c r="D31" t="n">
        <v>0.0023</v>
      </c>
      <c r="E31" t="inlineStr">
        <is>
          <t>0.796</t>
        </is>
      </c>
    </row>
    <row r="32">
      <c r="A32" t="inlineStr">
        <is>
          <t>SOX2Expression</t>
        </is>
      </c>
      <c r="B32" t="n">
        <v>-0.0001</v>
      </c>
      <c r="C32" t="n">
        <v>-0.0001</v>
      </c>
      <c r="D32" t="n">
        <v>-0</v>
      </c>
      <c r="E32" t="inlineStr">
        <is>
          <t>&lt;0.001</t>
        </is>
      </c>
    </row>
    <row r="33">
      <c r="A33" t="inlineStr">
        <is>
          <t>PIK3CAExpression</t>
        </is>
      </c>
      <c r="B33" t="n">
        <v>-0</v>
      </c>
      <c r="C33" t="n">
        <v>-0.0001</v>
      </c>
      <c r="D33" t="n">
        <v>0.0001</v>
      </c>
      <c r="E33" t="inlineStr">
        <is>
          <t>0.741</t>
        </is>
      </c>
    </row>
    <row r="34">
      <c r="A34" t="inlineStr">
        <is>
          <t>NOTCH1Expression</t>
        </is>
      </c>
      <c r="B34" t="n">
        <v>-0</v>
      </c>
      <c r="C34" t="n">
        <v>-0.0001</v>
      </c>
      <c r="D34" t="n">
        <v>0</v>
      </c>
      <c r="E34" t="inlineStr">
        <is>
          <t>0.128</t>
        </is>
      </c>
    </row>
    <row r="35">
      <c r="A35" t="inlineStr"/>
      <c r="B35" t="inlineStr"/>
      <c r="C35" t="inlineStr"/>
      <c r="D35" t="inlineStr"/>
      <c r="E35" t="inlineStr"/>
    </row>
    <row r="36">
      <c r="A36">
        <f>== [ Model: Pathologic N ] ===</f>
        <v/>
      </c>
      <c r="B36" t="inlineStr"/>
      <c r="C36" t="inlineStr"/>
      <c r="D36" t="inlineStr"/>
      <c r="E36" t="inlineStr"/>
    </row>
    <row r="37">
      <c r="A37" t="inlineStr">
        <is>
          <t>Dependent Variable (Y)</t>
        </is>
      </c>
      <c r="B37" t="inlineStr">
        <is>
          <t>SignatureScore_LOXL2_ITGB1_PLAUR_SNAI1_VEGFC</t>
        </is>
      </c>
      <c r="C37" t="inlineStr"/>
      <c r="D37" t="inlineStr"/>
      <c r="E37" t="inlineStr"/>
    </row>
    <row r="38">
      <c r="A38" t="inlineStr">
        <is>
          <t>Model Formula</t>
        </is>
      </c>
      <c r="B38" t="inlineStr">
        <is>
          <t>SignatureScore_LOXL2_ITGB1_PLAUR_SNAI1_VEGFC ~ age + C(gender) + number_pack_years_smoked + SOX2Expression + PIK3CAExpression + NOTCH1Expression + C(pathologic_N)</t>
        </is>
      </c>
      <c r="C38" t="inlineStr"/>
      <c r="D38" t="inlineStr"/>
      <c r="E38" t="inlineStr"/>
    </row>
    <row r="39">
      <c r="A39" t="inlineStr">
        <is>
          <t>R-squared</t>
        </is>
      </c>
      <c r="B39" t="inlineStr">
        <is>
          <t>0.2127</t>
        </is>
      </c>
      <c r="C39" t="inlineStr"/>
      <c r="D39" t="inlineStr"/>
      <c r="E39" t="inlineStr"/>
    </row>
    <row r="40">
      <c r="A40" t="inlineStr">
        <is>
          <t>Prob (F-statistic)</t>
        </is>
      </c>
      <c r="B40" t="inlineStr">
        <is>
          <t>1.4058e-16</t>
        </is>
      </c>
      <c r="C40" t="inlineStr"/>
      <c r="D40" t="inlineStr"/>
      <c r="E40" t="inlineStr"/>
    </row>
    <row r="41">
      <c r="A41" t="inlineStr">
        <is>
          <t>--- [ Coefficients ] ---</t>
        </is>
      </c>
      <c r="B41" t="inlineStr"/>
      <c r="C41" t="inlineStr"/>
      <c r="D41" t="inlineStr"/>
      <c r="E41" t="inlineStr"/>
    </row>
    <row r="42">
      <c r="A42" t="inlineStr">
        <is>
          <t>Intercept</t>
        </is>
      </c>
      <c r="B42" t="n">
        <v>0.3969</v>
      </c>
      <c r="C42" t="n">
        <v>-0.1702</v>
      </c>
      <c r="D42" t="n">
        <v>0.964</v>
      </c>
      <c r="E42" t="inlineStr">
        <is>
          <t>0.170</t>
        </is>
      </c>
    </row>
    <row r="43">
      <c r="A43" t="inlineStr">
        <is>
          <t>C(gender)[T.MALE]</t>
        </is>
      </c>
      <c r="B43" t="n">
        <v>-0.0159</v>
      </c>
      <c r="C43" t="n">
        <v>-0.1579</v>
      </c>
      <c r="D43" t="n">
        <v>0.1262</v>
      </c>
      <c r="E43" t="inlineStr">
        <is>
          <t>0.826</t>
        </is>
      </c>
    </row>
    <row r="44">
      <c r="A44" t="inlineStr">
        <is>
          <t>C(pathologic_N)[T.1.0]</t>
        </is>
      </c>
      <c r="B44" t="n">
        <v>0.1961</v>
      </c>
      <c r="C44" t="n">
        <v>0.0516</v>
      </c>
      <c r="D44" t="n">
        <v>0.3406</v>
      </c>
      <c r="E44" t="inlineStr">
        <is>
          <t>0.008</t>
        </is>
      </c>
    </row>
    <row r="45">
      <c r="A45" t="inlineStr">
        <is>
          <t>C(pathologic_N)[T.2.0]</t>
        </is>
      </c>
      <c r="B45" t="n">
        <v>-0.1669</v>
      </c>
      <c r="C45" t="n">
        <v>-0.4002</v>
      </c>
      <c r="D45" t="n">
        <v>0.0663</v>
      </c>
      <c r="E45" t="inlineStr">
        <is>
          <t>0.160</t>
        </is>
      </c>
    </row>
    <row r="46">
      <c r="A46" t="inlineStr">
        <is>
          <t>C(pathologic_N)[T.3.0]</t>
        </is>
      </c>
      <c r="B46" t="n">
        <v>-0.2386</v>
      </c>
      <c r="C46" t="n">
        <v>-0.8038999999999999</v>
      </c>
      <c r="D46" t="n">
        <v>0.3266</v>
      </c>
      <c r="E46" t="inlineStr">
        <is>
          <t>0.407</t>
        </is>
      </c>
    </row>
    <row r="47">
      <c r="A47" t="inlineStr">
        <is>
          <t>age</t>
        </is>
      </c>
      <c r="B47" t="n">
        <v>-0.0011</v>
      </c>
      <c r="C47" t="n">
        <v>-0.008800000000000001</v>
      </c>
      <c r="D47" t="n">
        <v>0.0067</v>
      </c>
      <c r="E47" t="inlineStr">
        <is>
          <t>0.788</t>
        </is>
      </c>
    </row>
    <row r="48">
      <c r="A48" t="inlineStr">
        <is>
          <t>number_pack_years_smoked</t>
        </is>
      </c>
      <c r="B48" t="n">
        <v>0.0002</v>
      </c>
      <c r="C48" t="n">
        <v>-0.0018</v>
      </c>
      <c r="D48" t="n">
        <v>0.0022</v>
      </c>
      <c r="E48" t="inlineStr">
        <is>
          <t>0.876</t>
        </is>
      </c>
    </row>
    <row r="49">
      <c r="A49" t="inlineStr">
        <is>
          <t>SOX2Expression</t>
        </is>
      </c>
      <c r="B49" t="n">
        <v>-0.0001</v>
      </c>
      <c r="C49" t="n">
        <v>-0.0001</v>
      </c>
      <c r="D49" t="n">
        <v>-0.0001</v>
      </c>
      <c r="E49" t="inlineStr">
        <is>
          <t>&lt;0.001</t>
        </is>
      </c>
    </row>
    <row r="50">
      <c r="A50" t="inlineStr">
        <is>
          <t>PIK3CAExpression</t>
        </is>
      </c>
      <c r="B50" t="n">
        <v>-0</v>
      </c>
      <c r="C50" t="n">
        <v>-0.0001</v>
      </c>
      <c r="D50" t="n">
        <v>0.0001</v>
      </c>
      <c r="E50" t="inlineStr">
        <is>
          <t>0.926</t>
        </is>
      </c>
    </row>
    <row r="51">
      <c r="A51" t="inlineStr">
        <is>
          <t>NOTCH1Expression</t>
        </is>
      </c>
      <c r="B51" t="n">
        <v>-0</v>
      </c>
      <c r="C51" t="n">
        <v>-0.0001</v>
      </c>
      <c r="D51" t="n">
        <v>0</v>
      </c>
      <c r="E51" t="inlineStr">
        <is>
          <t>0.081</t>
        </is>
      </c>
    </row>
    <row r="52">
      <c r="A52" t="inlineStr"/>
      <c r="B52" t="inlineStr"/>
      <c r="C52" t="inlineStr"/>
      <c r="D52" t="inlineStr"/>
      <c r="E52" t="inlineStr"/>
    </row>
    <row r="53">
      <c r="A53">
        <f>== [ Model: Pathologic M ] ===</f>
        <v/>
      </c>
      <c r="B53" t="inlineStr"/>
      <c r="C53" t="inlineStr"/>
      <c r="D53" t="inlineStr"/>
      <c r="E53" t="inlineStr"/>
    </row>
    <row r="54">
      <c r="A54" t="inlineStr">
        <is>
          <t>Dependent Variable (Y)</t>
        </is>
      </c>
      <c r="B54" t="inlineStr">
        <is>
          <t>SignatureScore_LOXL2_ITGB1_PLAUR_SNAI1_VEGFC</t>
        </is>
      </c>
      <c r="C54" t="inlineStr"/>
      <c r="D54" t="inlineStr"/>
      <c r="E54" t="inlineStr"/>
    </row>
    <row r="55">
      <c r="A55" t="inlineStr">
        <is>
          <t>Model Formula</t>
        </is>
      </c>
      <c r="B55" t="inlineStr">
        <is>
          <t>SignatureScore_LOXL2_ITGB1_PLAUR_SNAI1_VEGFC ~ age + C(gender) + number_pack_years_smoked + SOX2Expression + PIK3CAExpression + NOTCH1Expression + C(pathologic_M)</t>
        </is>
      </c>
      <c r="C55" t="inlineStr"/>
      <c r="D55" t="inlineStr"/>
      <c r="E55" t="inlineStr"/>
    </row>
    <row r="56">
      <c r="A56" t="inlineStr">
        <is>
          <t>R-squared</t>
        </is>
      </c>
      <c r="B56" t="inlineStr">
        <is>
          <t>0.1865</t>
        </is>
      </c>
      <c r="C56" t="inlineStr"/>
      <c r="D56" t="inlineStr"/>
      <c r="E56" t="inlineStr"/>
    </row>
    <row r="57">
      <c r="A57" t="inlineStr">
        <is>
          <t>Prob (F-statistic)</t>
        </is>
      </c>
      <c r="B57" t="inlineStr">
        <is>
          <t>1.4257e-12</t>
        </is>
      </c>
      <c r="C57" t="inlineStr"/>
      <c r="D57" t="inlineStr"/>
      <c r="E57" t="inlineStr"/>
    </row>
    <row r="58">
      <c r="A58" t="inlineStr">
        <is>
          <t>--- [ Coefficients ] ---</t>
        </is>
      </c>
      <c r="B58" t="inlineStr"/>
      <c r="C58" t="inlineStr"/>
      <c r="D58" t="inlineStr"/>
      <c r="E58" t="inlineStr"/>
    </row>
    <row r="59">
      <c r="A59" t="inlineStr">
        <is>
          <t>Intercept</t>
        </is>
      </c>
      <c r="B59" t="n">
        <v>0.2604</v>
      </c>
      <c r="C59" t="n">
        <v>-0.3679</v>
      </c>
      <c r="D59" t="n">
        <v>0.8887</v>
      </c>
      <c r="E59" t="inlineStr">
        <is>
          <t>0.416</t>
        </is>
      </c>
    </row>
    <row r="60">
      <c r="A60" t="inlineStr">
        <is>
          <t>C(gender)[T.MALE]</t>
        </is>
      </c>
      <c r="B60" t="n">
        <v>0.0235</v>
      </c>
      <c r="C60" t="n">
        <v>-0.1347</v>
      </c>
      <c r="D60" t="n">
        <v>0.1817</v>
      </c>
      <c r="E60" t="inlineStr">
        <is>
          <t>0.770</t>
        </is>
      </c>
    </row>
    <row r="61">
      <c r="A61" t="inlineStr">
        <is>
          <t>C(pathologic_M)[T.1.0]</t>
        </is>
      </c>
      <c r="B61" t="n">
        <v>0.1388</v>
      </c>
      <c r="C61" t="n">
        <v>-0.385</v>
      </c>
      <c r="D61" t="n">
        <v>0.6625</v>
      </c>
      <c r="E61" t="inlineStr">
        <is>
          <t>0.603</t>
        </is>
      </c>
    </row>
    <row r="62">
      <c r="A62" t="inlineStr">
        <is>
          <t>age</t>
        </is>
      </c>
      <c r="B62" t="n">
        <v>0.0003</v>
      </c>
      <c r="C62" t="n">
        <v>-0.008200000000000001</v>
      </c>
      <c r="D62" t="n">
        <v>0.0089</v>
      </c>
      <c r="E62" t="inlineStr">
        <is>
          <t>0.937</t>
        </is>
      </c>
    </row>
    <row r="63">
      <c r="A63" t="inlineStr">
        <is>
          <t>number_pack_years_smoked</t>
        </is>
      </c>
      <c r="B63" t="n">
        <v>0.0004</v>
      </c>
      <c r="C63" t="n">
        <v>-0.0019</v>
      </c>
      <c r="D63" t="n">
        <v>0.0026</v>
      </c>
      <c r="E63" t="inlineStr">
        <is>
          <t>0.748</t>
        </is>
      </c>
    </row>
    <row r="64">
      <c r="A64" t="inlineStr">
        <is>
          <t>SOX2Expression</t>
        </is>
      </c>
      <c r="B64" t="n">
        <v>-0.0001</v>
      </c>
      <c r="C64" t="n">
        <v>-0.0001</v>
      </c>
      <c r="D64" t="n">
        <v>-0</v>
      </c>
      <c r="E64" t="inlineStr">
        <is>
          <t>&lt;0.001</t>
        </is>
      </c>
    </row>
    <row r="65">
      <c r="A65" t="inlineStr">
        <is>
          <t>PIK3CAExpression</t>
        </is>
      </c>
      <c r="B65" t="n">
        <v>-0</v>
      </c>
      <c r="C65" t="n">
        <v>-0.0002</v>
      </c>
      <c r="D65" t="n">
        <v>0.0001</v>
      </c>
      <c r="E65" t="inlineStr">
        <is>
          <t>0.723</t>
        </is>
      </c>
    </row>
    <row r="66">
      <c r="A66" t="inlineStr">
        <is>
          <t>NOTCH1Expression</t>
        </is>
      </c>
      <c r="B66" t="n">
        <v>-0</v>
      </c>
      <c r="C66" t="n">
        <v>-0.0001</v>
      </c>
      <c r="D66" t="n">
        <v>0</v>
      </c>
      <c r="E66" t="inlineStr">
        <is>
          <t>0.366</t>
        </is>
      </c>
    </row>
    <row r="67">
      <c r="A67" t="inlineStr"/>
      <c r="B67" t="inlineStr"/>
      <c r="C67" t="inlineStr"/>
      <c r="D67" t="inlineStr"/>
      <c r="E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2026-06-22T19:06:32Z</dcterms:created>
  <dcterms:modified xsi:type="dcterms:W3CDTF">2026-06-22T19:06:32Z</dcterms:modified>
</cp:coreProperties>
</file>
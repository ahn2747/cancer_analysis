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0.141</t>
        </is>
      </c>
      <c r="G2" t="inlineStr">
        <is>
          <t>-0.004</t>
        </is>
      </c>
      <c r="H2" t="inlineStr">
        <is>
          <t>0.017</t>
        </is>
      </c>
      <c r="I2" t="inlineStr">
        <is>
          <t>0.041</t>
        </is>
      </c>
      <c r="J2" t="inlineStr">
        <is>
          <t>-0.120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0.002</t>
        </is>
      </c>
      <c r="G3" t="inlineStr">
        <is>
          <t>0.921</t>
        </is>
      </c>
      <c r="H3" t="inlineStr">
        <is>
          <t>0.700</t>
        </is>
      </c>
      <c r="I3" t="inlineStr">
        <is>
          <t>0.361</t>
        </is>
      </c>
      <c r="J3" t="inlineStr">
        <is>
          <t>0.081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0.141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0.002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-0.004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0.921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0.017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0.700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0.041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0.361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-0.120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0.081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n">
        <v>0.988</v>
      </c>
      <c r="D2" t="n">
        <v>1.027</v>
      </c>
      <c r="E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n">
        <v>0.993</v>
      </c>
      <c r="D3" t="n">
        <v>1.008</v>
      </c>
      <c r="E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n">
        <v>1.28</v>
      </c>
      <c r="D4" t="n">
        <v>1.823</v>
      </c>
      <c r="E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n">
        <v>0.465</v>
      </c>
      <c r="D5" t="n">
        <v>1</v>
      </c>
      <c r="E5" t="inlineStr">
        <is>
          <t>0.050</t>
        </is>
      </c>
    </row>
    <row r="6">
      <c r="A6" t="inlineStr">
        <is>
          <t>gender_MALE</t>
        </is>
      </c>
      <c r="B6" t="n">
        <v>1.277</v>
      </c>
      <c r="C6" t="n">
        <v>0.873</v>
      </c>
      <c r="D6" t="n">
        <v>1.868</v>
      </c>
      <c r="E6" t="inlineStr">
        <is>
          <t>0.208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pathologic_stage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0.0379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1.3351e-02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3219.6819</v>
      </c>
      <c r="C8" t="n">
        <v>452.8821</v>
      </c>
      <c r="D8" t="n">
        <v>5986.4816</v>
      </c>
      <c r="E8" t="inlineStr">
        <is>
          <t>0.023</t>
        </is>
      </c>
    </row>
    <row r="9">
      <c r="A9" t="inlineStr">
        <is>
          <t>C(gender)[T.MALE]</t>
        </is>
      </c>
      <c r="B9" t="n">
        <v>873.3196</v>
      </c>
      <c r="C9" t="n">
        <v>68.21510000000001</v>
      </c>
      <c r="D9" t="n">
        <v>1678.4242</v>
      </c>
      <c r="E9" t="inlineStr">
        <is>
          <t>0.034</t>
        </is>
      </c>
    </row>
    <row r="10">
      <c r="A10" t="inlineStr">
        <is>
          <t>age_at_initial_pathologic_diagnosis</t>
        </is>
      </c>
      <c r="B10" t="n">
        <v>16.7246</v>
      </c>
      <c r="C10" t="n">
        <v>-22.5676</v>
      </c>
      <c r="D10" t="n">
        <v>56.0169</v>
      </c>
      <c r="E10" t="inlineStr">
        <is>
          <t>0.403</t>
        </is>
      </c>
    </row>
    <row r="11">
      <c r="A11" t="inlineStr">
        <is>
          <t>number_pack_years_smoked</t>
        </is>
      </c>
      <c r="B11" t="n">
        <v>-23.5748</v>
      </c>
      <c r="C11" t="n">
        <v>-38.2103</v>
      </c>
      <c r="D11" t="n">
        <v>-8.9392</v>
      </c>
      <c r="E11" t="inlineStr">
        <is>
          <t>0.002</t>
        </is>
      </c>
    </row>
    <row r="12">
      <c r="A12" t="inlineStr">
        <is>
          <t>pathologic_stage</t>
        </is>
      </c>
      <c r="B12" t="n">
        <v>-54.2538</v>
      </c>
      <c r="C12" t="n">
        <v>-482.9274</v>
      </c>
      <c r="D12" t="n">
        <v>374.4198</v>
      </c>
      <c r="E12" t="inlineStr">
        <is>
          <t>0.804</t>
        </is>
      </c>
    </row>
    <row r="13">
      <c r="A13" t="inlineStr"/>
      <c r="B13" t="inlineStr"/>
      <c r="C13" t="inlineStr"/>
      <c r="D13" t="inlineStr"/>
      <c r="E13" t="inlineStr"/>
    </row>
    <row r="14">
      <c r="A14">
        <f>== [ Model: Base + Pathologic T ] ===</f>
        <v/>
      </c>
      <c r="B14" t="inlineStr"/>
      <c r="C14" t="inlineStr"/>
      <c r="D14" t="inlineStr"/>
      <c r="E14" t="inlineStr"/>
    </row>
    <row r="15">
      <c r="A15" t="inlineStr">
        <is>
          <t>Dependent Variable (Y)</t>
        </is>
      </c>
      <c r="B15" t="inlineStr">
        <is>
          <t>FAT1expression</t>
        </is>
      </c>
      <c r="C15" t="inlineStr"/>
      <c r="D15" t="inlineStr"/>
      <c r="E15" t="inlineStr"/>
    </row>
    <row r="16">
      <c r="A16" t="inlineStr">
        <is>
          <t>Model Formula</t>
        </is>
      </c>
      <c r="B16" t="inlineStr">
        <is>
          <t>FAT1expression ~ age_at_initial_pathologic_diagnosis + number_pack_years_smoked + pathologic_stage + C(gender) + C(pathologic_T)</t>
        </is>
      </c>
      <c r="C16" t="inlineStr"/>
      <c r="D16" t="inlineStr"/>
      <c r="E16" t="inlineStr"/>
    </row>
    <row r="17">
      <c r="A17" t="inlineStr">
        <is>
          <t>R-squared</t>
        </is>
      </c>
      <c r="B17" t="inlineStr">
        <is>
          <t>0.0542</t>
        </is>
      </c>
      <c r="C17" t="inlineStr"/>
      <c r="D17" t="inlineStr"/>
      <c r="E17" t="inlineStr"/>
    </row>
    <row r="18">
      <c r="A18" t="inlineStr">
        <is>
          <t>Prob (F-statistic)</t>
        </is>
      </c>
      <c r="B18" t="inlineStr">
        <is>
          <t>1.1533e-02</t>
        </is>
      </c>
      <c r="C18" t="inlineStr"/>
      <c r="D18" t="inlineStr"/>
      <c r="E18" t="inlineStr"/>
    </row>
    <row r="19">
      <c r="A19" t="inlineStr">
        <is>
          <t>--- [ Coefficients ] ---</t>
        </is>
      </c>
      <c r="B19" t="inlineStr"/>
      <c r="C19" t="inlineStr"/>
      <c r="D19" t="inlineStr"/>
      <c r="E19" t="inlineStr"/>
    </row>
    <row r="20">
      <c r="A20" t="inlineStr">
        <is>
          <t>Intercept</t>
        </is>
      </c>
      <c r="B20" t="n">
        <v>2955.3195</v>
      </c>
      <c r="C20" t="n">
        <v>161.7177</v>
      </c>
      <c r="D20" t="n">
        <v>5748.9214</v>
      </c>
      <c r="E20" t="inlineStr">
        <is>
          <t>0.038</t>
        </is>
      </c>
    </row>
    <row r="21">
      <c r="A21" t="inlineStr">
        <is>
          <t>C(gender)[T.MALE]</t>
        </is>
      </c>
      <c r="B21" t="n">
        <v>695.8680000000001</v>
      </c>
      <c r="C21" t="n">
        <v>-125.6692</v>
      </c>
      <c r="D21" t="n">
        <v>1517.4051</v>
      </c>
      <c r="E21" t="inlineStr">
        <is>
          <t>0.097</t>
        </is>
      </c>
    </row>
    <row r="22">
      <c r="A22" t="inlineStr">
        <is>
          <t>C(pathologic_T)[T.2.0]</t>
        </is>
      </c>
      <c r="B22" t="n">
        <v>808.4222</v>
      </c>
      <c r="C22" t="n">
        <v>-89.3417</v>
      </c>
      <c r="D22" t="n">
        <v>1706.1861</v>
      </c>
      <c r="E22" t="inlineStr">
        <is>
          <t>0.077</t>
        </is>
      </c>
    </row>
    <row r="23">
      <c r="A23" t="inlineStr">
        <is>
          <t>C(pathologic_T)[T.3.0]</t>
        </is>
      </c>
      <c r="B23" t="n">
        <v>1680.3698</v>
      </c>
      <c r="C23" t="n">
        <v>126.3527</v>
      </c>
      <c r="D23" t="n">
        <v>3234.3869</v>
      </c>
      <c r="E23" t="inlineStr">
        <is>
          <t>0.034</t>
        </is>
      </c>
    </row>
    <row r="24">
      <c r="A24" t="inlineStr">
        <is>
          <t>C(pathologic_T)[T.4.0]</t>
        </is>
      </c>
      <c r="B24" t="n">
        <v>1245.1799</v>
      </c>
      <c r="C24" t="n">
        <v>-1040.7184</v>
      </c>
      <c r="D24" t="n">
        <v>3531.0782</v>
      </c>
      <c r="E24" t="inlineStr">
        <is>
          <t>0.285</t>
        </is>
      </c>
    </row>
    <row r="25">
      <c r="A25" t="inlineStr">
        <is>
          <t>age_at_initial_pathologic_diagnosis</t>
        </is>
      </c>
      <c r="B25" t="n">
        <v>17.7581</v>
      </c>
      <c r="C25" t="n">
        <v>-21.4363</v>
      </c>
      <c r="D25" t="n">
        <v>56.9525</v>
      </c>
      <c r="E25" t="inlineStr">
        <is>
          <t>0.373</t>
        </is>
      </c>
    </row>
    <row r="26">
      <c r="A26" t="inlineStr">
        <is>
          <t>number_pack_years_smoked</t>
        </is>
      </c>
      <c r="B26" t="n">
        <v>-22.7482</v>
      </c>
      <c r="C26" t="n">
        <v>-37.4154</v>
      </c>
      <c r="D26" t="n">
        <v>-8.081099999999999</v>
      </c>
      <c r="E26" t="inlineStr">
        <is>
          <t>0.002</t>
        </is>
      </c>
    </row>
    <row r="27">
      <c r="A27" t="inlineStr">
        <is>
          <t>pathologic_stage</t>
        </is>
      </c>
      <c r="B27" t="n">
        <v>-273.2395</v>
      </c>
      <c r="C27" t="n">
        <v>-758.1485</v>
      </c>
      <c r="D27" t="n">
        <v>211.6696</v>
      </c>
      <c r="E27" t="inlineStr">
        <is>
          <t>0.268</t>
        </is>
      </c>
    </row>
    <row r="28">
      <c r="A28" t="inlineStr"/>
      <c r="B28" t="inlineStr"/>
      <c r="C28" t="inlineStr"/>
      <c r="D28" t="inlineStr"/>
      <c r="E28" t="inlineStr"/>
    </row>
    <row r="29">
      <c r="A29">
        <f>== [ Model: Base + Pathologic N ] ===</f>
        <v/>
      </c>
      <c r="B29" t="inlineStr"/>
      <c r="C29" t="inlineStr"/>
      <c r="D29" t="inlineStr"/>
      <c r="E29" t="inlineStr"/>
    </row>
    <row r="30">
      <c r="A30" t="inlineStr">
        <is>
          <t>Dependent Variable (Y)</t>
        </is>
      </c>
      <c r="B30" t="inlineStr">
        <is>
          <t>FAT1expression</t>
        </is>
      </c>
      <c r="C30" t="inlineStr"/>
      <c r="D30" t="inlineStr"/>
      <c r="E30" t="inlineStr"/>
    </row>
    <row r="31">
      <c r="A31" t="inlineStr">
        <is>
          <t>Model Formula</t>
        </is>
      </c>
      <c r="B31" t="inlineStr">
        <is>
          <t>FAT1expression ~ age_at_initial_pathologic_diagnosis + number_pack_years_smoked + pathologic_stage + C(gender) + C(pathologic_N)</t>
        </is>
      </c>
      <c r="C31" t="inlineStr"/>
      <c r="D31" t="inlineStr"/>
      <c r="E31" t="inlineStr"/>
    </row>
    <row r="32">
      <c r="A32" t="inlineStr">
        <is>
          <t>R-squared</t>
        </is>
      </c>
      <c r="B32" t="inlineStr">
        <is>
          <t>0.0403</t>
        </is>
      </c>
      <c r="C32" t="inlineStr"/>
      <c r="D32" t="inlineStr"/>
      <c r="E32" t="inlineStr"/>
    </row>
    <row r="33">
      <c r="A33" t="inlineStr">
        <is>
          <t>Prob (F-statistic)</t>
        </is>
      </c>
      <c r="B33" t="inlineStr">
        <is>
          <t>6.7575e-02</t>
        </is>
      </c>
      <c r="C33" t="inlineStr"/>
      <c r="D33" t="inlineStr"/>
      <c r="E33" t="inlineStr"/>
    </row>
    <row r="34">
      <c r="A34" t="inlineStr">
        <is>
          <t>--- [ Coefficients ] ---</t>
        </is>
      </c>
      <c r="B34" t="inlineStr"/>
      <c r="C34" t="inlineStr"/>
      <c r="D34" t="inlineStr"/>
      <c r="E34" t="inlineStr"/>
    </row>
    <row r="35">
      <c r="A35" t="inlineStr">
        <is>
          <t>Intercept</t>
        </is>
      </c>
      <c r="B35" t="n">
        <v>3232.6531</v>
      </c>
      <c r="C35" t="n">
        <v>360.7059</v>
      </c>
      <c r="D35" t="n">
        <v>6104.6004</v>
      </c>
      <c r="E35" t="inlineStr">
        <is>
          <t>0.027</t>
        </is>
      </c>
    </row>
    <row r="36">
      <c r="A36" t="inlineStr">
        <is>
          <t>C(gender)[T.MALE]</t>
        </is>
      </c>
      <c r="B36" t="n">
        <v>884.1013</v>
      </c>
      <c r="C36" t="n">
        <v>59.9918</v>
      </c>
      <c r="D36" t="n">
        <v>1708.2107</v>
      </c>
      <c r="E36" t="inlineStr">
        <is>
          <t>0.036</t>
        </is>
      </c>
    </row>
    <row r="37">
      <c r="A37" t="inlineStr">
        <is>
          <t>C(pathologic_N)[T.1.0]</t>
        </is>
      </c>
      <c r="B37" t="n">
        <v>-481.9716</v>
      </c>
      <c r="C37" t="n">
        <v>-1688.4045</v>
      </c>
      <c r="D37" t="n">
        <v>724.4613000000001</v>
      </c>
      <c r="E37" t="inlineStr">
        <is>
          <t>0.432</t>
        </is>
      </c>
    </row>
    <row r="38">
      <c r="A38" t="inlineStr">
        <is>
          <t>C(pathologic_N)[T.2.0]</t>
        </is>
      </c>
      <c r="B38" t="n">
        <v>-211.7814</v>
      </c>
      <c r="C38" t="n">
        <v>-1832.1531</v>
      </c>
      <c r="D38" t="n">
        <v>1408.5902</v>
      </c>
      <c r="E38" t="inlineStr">
        <is>
          <t>0.797</t>
        </is>
      </c>
    </row>
    <row r="39">
      <c r="A39" t="inlineStr">
        <is>
          <t>C(pathologic_N)[T.3.0]</t>
        </is>
      </c>
      <c r="B39" t="n">
        <v>-984.9736</v>
      </c>
      <c r="C39" t="n">
        <v>-6218.0168</v>
      </c>
      <c r="D39" t="n">
        <v>4248.0695</v>
      </c>
      <c r="E39" t="inlineStr">
        <is>
          <t>0.711</t>
        </is>
      </c>
    </row>
    <row r="40">
      <c r="A40" t="inlineStr">
        <is>
          <t>age_at_initial_pathologic_diagnosis</t>
        </is>
      </c>
      <c r="B40" t="n">
        <v>15.9911</v>
      </c>
      <c r="C40" t="n">
        <v>-24.2847</v>
      </c>
      <c r="D40" t="n">
        <v>56.2669</v>
      </c>
      <c r="E40" t="inlineStr">
        <is>
          <t>0.435</t>
        </is>
      </c>
    </row>
    <row r="41">
      <c r="A41" t="inlineStr">
        <is>
          <t>number_pack_years_smoked</t>
        </is>
      </c>
      <c r="B41" t="n">
        <v>-23.9593</v>
      </c>
      <c r="C41" t="n">
        <v>-38.9108</v>
      </c>
      <c r="D41" t="n">
        <v>-9.0078</v>
      </c>
      <c r="E41" t="inlineStr">
        <is>
          <t>0.002</t>
        </is>
      </c>
    </row>
    <row r="42">
      <c r="A42" t="inlineStr">
        <is>
          <t>pathologic_stage</t>
        </is>
      </c>
      <c r="B42" t="n">
        <v>51.3778</v>
      </c>
      <c r="C42" t="n">
        <v>-581.8903</v>
      </c>
      <c r="D42" t="n">
        <v>684.6459</v>
      </c>
      <c r="E42" t="inlineStr">
        <is>
          <t>0.873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Base +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FAT1expression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FAT1expression ~ age_at_initial_pathologic_diagnosis + number_pack_years_smoked + pathologic_stage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0.0675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6.7594e-03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2865.775</v>
      </c>
      <c r="C50" t="n">
        <v>650.9094</v>
      </c>
      <c r="D50" t="n">
        <v>5080.6405</v>
      </c>
      <c r="E50" t="inlineStr">
        <is>
          <t>0.011</t>
        </is>
      </c>
    </row>
    <row r="51">
      <c r="A51" t="inlineStr">
        <is>
          <t>C(gender)[T.MALE]</t>
        </is>
      </c>
      <c r="B51" t="n">
        <v>646.996</v>
      </c>
      <c r="C51" t="n">
        <v>-10.8021</v>
      </c>
      <c r="D51" t="n">
        <v>1304.7942</v>
      </c>
      <c r="E51" t="inlineStr">
        <is>
          <t>0.054</t>
        </is>
      </c>
    </row>
    <row r="52">
      <c r="A52" t="inlineStr">
        <is>
          <t>C(pathologic_M)[T.1.0]</t>
        </is>
      </c>
      <c r="B52" t="n">
        <v>-890.1712</v>
      </c>
      <c r="C52" t="n">
        <v>-2464.8652</v>
      </c>
      <c r="D52" t="n">
        <v>684.5229</v>
      </c>
      <c r="E52" t="inlineStr">
        <is>
          <t>0.267</t>
        </is>
      </c>
    </row>
    <row r="53">
      <c r="A53" t="inlineStr">
        <is>
          <t>age_at_initial_pathologic_diagnosis</t>
        </is>
      </c>
      <c r="B53" t="n">
        <v>11.4403</v>
      </c>
      <c r="C53" t="n">
        <v>-20.3873</v>
      </c>
      <c r="D53" t="n">
        <v>43.2679</v>
      </c>
      <c r="E53" t="inlineStr">
        <is>
          <t>0.480</t>
        </is>
      </c>
    </row>
    <row r="54">
      <c r="A54" t="inlineStr">
        <is>
          <t>number_pack_years_smoked</t>
        </is>
      </c>
      <c r="B54" t="n">
        <v>-21.002</v>
      </c>
      <c r="C54" t="n">
        <v>-33.0662</v>
      </c>
      <c r="D54" t="n">
        <v>-8.937799999999999</v>
      </c>
      <c r="E54" t="inlineStr">
        <is>
          <t>&lt;0.001</t>
        </is>
      </c>
    </row>
    <row r="55">
      <c r="A55" t="inlineStr">
        <is>
          <t>pathologic_stage</t>
        </is>
      </c>
      <c r="B55" t="n">
        <v>280.1824</v>
      </c>
      <c r="C55" t="n">
        <v>-136.7087</v>
      </c>
      <c r="D55" t="n">
        <v>697.0736000000001</v>
      </c>
      <c r="E55" t="inlineStr">
        <is>
          <t>0.187</t>
        </is>
      </c>
    </row>
    <row r="56">
      <c r="A56" t="inlineStr"/>
      <c r="B56" t="inlineStr"/>
      <c r="C56" t="inlineStr"/>
      <c r="D56" t="inlineStr"/>
      <c r="E5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2026-06-30T06:55:59Z</dcterms:created>
  <dcterms:modified xsi:type="dcterms:W3CDTF">2026-06-30T06:55:59Z</dcterms:modified>
</cp:coreProperties>
</file>
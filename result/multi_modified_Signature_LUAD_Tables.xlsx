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121</v>
      </c>
      <c r="C3" t="n">
        <v>115</v>
      </c>
      <c r="D3" t="inlineStr">
        <is>
          <t>0.651</t>
        </is>
      </c>
    </row>
    <row r="4">
      <c r="A4" t="inlineStr">
        <is>
          <t xml:space="preserve">  1.0</t>
        </is>
      </c>
      <c r="B4" t="n">
        <v>124</v>
      </c>
      <c r="C4" t="n">
        <v>130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>  </t>
        </is>
      </c>
      <c r="B6" t="n">
        <v>1</v>
      </c>
      <c r="C6" t="n">
        <v>1</v>
      </c>
      <c r="D6" t="inlineStr">
        <is>
          <t>0.553</t>
        </is>
      </c>
    </row>
    <row r="7">
      <c r="A7" t="inlineStr">
        <is>
          <t xml:space="preserve">  FEMALE</t>
        </is>
      </c>
      <c r="B7" t="n">
        <v>127</v>
      </c>
      <c r="C7" t="n">
        <v>139</v>
      </c>
      <c r="D7" t="inlineStr"/>
    </row>
    <row r="8">
      <c r="A8" t="inlineStr">
        <is>
          <t xml:space="preserve">  MALE</t>
        </is>
      </c>
      <c r="B8" t="n">
        <v>118</v>
      </c>
      <c r="C8" t="n">
        <v>106</v>
      </c>
      <c r="D8" t="inlineStr"/>
    </row>
    <row r="9">
      <c r="A9" t="inlineStr">
        <is>
          <t>pathologic_stage</t>
        </is>
      </c>
      <c r="B9" t="inlineStr"/>
      <c r="C9" t="inlineStr"/>
      <c r="D9" t="inlineStr"/>
    </row>
    <row r="10">
      <c r="A10" t="inlineStr">
        <is>
          <t xml:space="preserve">  1.0</t>
        </is>
      </c>
      <c r="B10" t="n">
        <v>116</v>
      </c>
      <c r="C10" t="n">
        <v>146</v>
      </c>
      <c r="D10" t="inlineStr">
        <is>
          <t>0.036</t>
        </is>
      </c>
    </row>
    <row r="11">
      <c r="A11" t="inlineStr">
        <is>
          <t xml:space="preserve">  2.0</t>
        </is>
      </c>
      <c r="B11" t="n">
        <v>65</v>
      </c>
      <c r="C11" t="n">
        <v>52</v>
      </c>
      <c r="D11" t="inlineStr"/>
    </row>
    <row r="12">
      <c r="A12" t="inlineStr">
        <is>
          <t xml:space="preserve">  3.0</t>
        </is>
      </c>
      <c r="B12" t="n">
        <v>44</v>
      </c>
      <c r="C12" t="n">
        <v>35</v>
      </c>
      <c r="D12" t="inlineStr"/>
    </row>
    <row r="13">
      <c r="A13" t="inlineStr">
        <is>
          <t xml:space="preserve">  4.0</t>
        </is>
      </c>
      <c r="B13" t="n">
        <v>16</v>
      </c>
      <c r="C13" t="n">
        <v>8</v>
      </c>
      <c r="D13" t="inlineStr"/>
    </row>
    <row r="14">
      <c r="A14" t="inlineStr">
        <is>
          <t>pathologic_M</t>
        </is>
      </c>
      <c r="B14" t="inlineStr"/>
      <c r="C14" t="inlineStr"/>
      <c r="D14" t="inlineStr"/>
    </row>
    <row r="15">
      <c r="A15" t="inlineStr">
        <is>
          <t xml:space="preserve">  0.0</t>
        </is>
      </c>
      <c r="B15" t="n">
        <v>161</v>
      </c>
      <c r="C15" t="n">
        <v>161</v>
      </c>
      <c r="D15" t="inlineStr">
        <is>
          <t>0.173</t>
        </is>
      </c>
    </row>
    <row r="16">
      <c r="A16" t="inlineStr">
        <is>
          <t xml:space="preserve">  1.0</t>
        </is>
      </c>
      <c r="B16" t="n">
        <v>16</v>
      </c>
      <c r="C16" t="n">
        <v>8</v>
      </c>
      <c r="D16" t="inlineStr"/>
    </row>
    <row r="17">
      <c r="A17" t="inlineStr">
        <is>
          <t>pathologic_N</t>
        </is>
      </c>
      <c r="B17" t="inlineStr"/>
      <c r="C17" t="inlineStr"/>
      <c r="D17" t="inlineStr"/>
    </row>
    <row r="18">
      <c r="A18" t="inlineStr">
        <is>
          <t xml:space="preserve">  0.0</t>
        </is>
      </c>
      <c r="B18" t="n">
        <v>146</v>
      </c>
      <c r="C18" t="n">
        <v>170</v>
      </c>
      <c r="D18" t="inlineStr">
        <is>
          <t>0.094</t>
        </is>
      </c>
    </row>
    <row r="19">
      <c r="A19" t="inlineStr">
        <is>
          <t xml:space="preserve">  1.0</t>
        </is>
      </c>
      <c r="B19" t="n">
        <v>55</v>
      </c>
      <c r="C19" t="n">
        <v>38</v>
      </c>
      <c r="D19" t="inlineStr"/>
    </row>
    <row r="20">
      <c r="A20" t="inlineStr">
        <is>
          <t xml:space="preserve">  2.0</t>
        </is>
      </c>
      <c r="B20" t="n">
        <v>39</v>
      </c>
      <c r="C20" t="n">
        <v>29</v>
      </c>
      <c r="D20" t="inlineStr"/>
    </row>
    <row r="21">
      <c r="A21" t="inlineStr">
        <is>
          <t xml:space="preserve">  3.0</t>
        </is>
      </c>
      <c r="B21" t="n">
        <v>1</v>
      </c>
      <c r="C21" t="n">
        <v>1</v>
      </c>
      <c r="D21" t="inlineStr"/>
    </row>
    <row r="22">
      <c r="A22" t="inlineStr">
        <is>
          <t>pathologic_T</t>
        </is>
      </c>
      <c r="B22" t="inlineStr"/>
      <c r="C22" t="inlineStr"/>
      <c r="D22" t="inlineStr"/>
    </row>
    <row r="23">
      <c r="A23" t="inlineStr">
        <is>
          <t xml:space="preserve">  1.0</t>
        </is>
      </c>
      <c r="B23" t="n">
        <v>68</v>
      </c>
      <c r="C23" t="n">
        <v>96</v>
      </c>
      <c r="D23" t="inlineStr">
        <is>
          <t>0.060</t>
        </is>
      </c>
    </row>
    <row r="24">
      <c r="A24" t="inlineStr">
        <is>
          <t xml:space="preserve">  2.0</t>
        </is>
      </c>
      <c r="B24" t="n">
        <v>140</v>
      </c>
      <c r="C24" t="n">
        <v>120</v>
      </c>
      <c r="D24" t="inlineStr"/>
    </row>
    <row r="25">
      <c r="A25" t="inlineStr">
        <is>
          <t xml:space="preserve">  3.0</t>
        </is>
      </c>
      <c r="B25" t="n">
        <v>26</v>
      </c>
      <c r="C25" t="n">
        <v>19</v>
      </c>
      <c r="D25" t="inlineStr"/>
    </row>
    <row r="26">
      <c r="A26" t="inlineStr">
        <is>
          <t xml:space="preserve">  4.0</t>
        </is>
      </c>
      <c r="B26" t="n">
        <v>9</v>
      </c>
      <c r="C26" t="n">
        <v>9</v>
      </c>
      <c r="D26" t="inlineStr"/>
    </row>
    <row r="27">
      <c r="A27" t="inlineStr">
        <is>
          <t>SmokingStatus</t>
        </is>
      </c>
      <c r="B27" t="inlineStr"/>
      <c r="C27" t="inlineStr"/>
      <c r="D27" t="inlineStr"/>
    </row>
    <row r="28">
      <c r="A28" t="inlineStr">
        <is>
          <t xml:space="preserve">  0.0</t>
        </is>
      </c>
      <c r="B28" t="n">
        <v>74</v>
      </c>
      <c r="C28" t="n">
        <v>85</v>
      </c>
      <c r="D28" t="inlineStr">
        <is>
          <t>0.335</t>
        </is>
      </c>
    </row>
    <row r="29">
      <c r="A29" t="inlineStr">
        <is>
          <t xml:space="preserve">  1.0</t>
        </is>
      </c>
      <c r="B29" t="n">
        <v>172</v>
      </c>
      <c r="C29" t="n">
        <v>161</v>
      </c>
      <c r="D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SignatureScore_LOXL2_ITGB1_PLAUR_SNAI1_VEGFC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TP53Expression</t>
        </is>
      </c>
      <c r="G1" s="1" t="inlineStr">
        <is>
          <t>ALKExpression</t>
        </is>
      </c>
    </row>
    <row r="2">
      <c r="A2" t="inlineStr">
        <is>
          <t>SignatureScore_LOXL2_ITGB1_PLAUR_SNAI1_VEGFC</t>
        </is>
      </c>
      <c r="B2" t="inlineStr">
        <is>
          <t>R</t>
        </is>
      </c>
      <c r="C2" t="inlineStr">
        <is>
          <t>1</t>
        </is>
      </c>
      <c r="D2" t="inlineStr">
        <is>
          <t>0.058</t>
        </is>
      </c>
      <c r="E2" t="inlineStr">
        <is>
          <t>-0.056</t>
        </is>
      </c>
      <c r="F2" t="inlineStr">
        <is>
          <t>-0.143</t>
        </is>
      </c>
      <c r="G2" t="inlineStr">
        <is>
          <t>-0.091</t>
        </is>
      </c>
    </row>
    <row r="3">
      <c r="A3" t="inlineStr"/>
      <c r="B3" t="inlineStr">
        <is>
          <t>P</t>
        </is>
      </c>
      <c r="C3" t="inlineStr"/>
      <c r="D3" t="inlineStr">
        <is>
          <t>0.291</t>
        </is>
      </c>
      <c r="E3" t="inlineStr">
        <is>
          <t>0.220</t>
        </is>
      </c>
      <c r="F3" t="inlineStr">
        <is>
          <t>0.001</t>
        </is>
      </c>
      <c r="G3" t="inlineStr">
        <is>
          <t>0.043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0.058</t>
        </is>
      </c>
      <c r="D4" t="inlineStr">
        <is>
          <t>1</t>
        </is>
      </c>
      <c r="E4" t="inlineStr">
        <is>
          <t>0.074</t>
        </is>
      </c>
      <c r="F4" t="inlineStr">
        <is>
          <t>0.046</t>
        </is>
      </c>
      <c r="G4" t="inlineStr">
        <is>
          <t>0.010</t>
        </is>
      </c>
    </row>
    <row r="5">
      <c r="A5" t="inlineStr"/>
      <c r="B5" t="inlineStr">
        <is>
          <t>P</t>
        </is>
      </c>
      <c r="C5" t="inlineStr">
        <is>
          <t>0.291</t>
        </is>
      </c>
      <c r="D5" t="inlineStr"/>
      <c r="E5" t="inlineStr">
        <is>
          <t>0.181</t>
        </is>
      </c>
      <c r="F5" t="inlineStr">
        <is>
          <t>0.408</t>
        </is>
      </c>
      <c r="G5" t="inlineStr">
        <is>
          <t>0.859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-0.056</t>
        </is>
      </c>
      <c r="D6" t="inlineStr">
        <is>
          <t>0.074</t>
        </is>
      </c>
      <c r="E6" t="inlineStr">
        <is>
          <t>1</t>
        </is>
      </c>
      <c r="F6" t="inlineStr">
        <is>
          <t>0.072</t>
        </is>
      </c>
      <c r="G6" t="inlineStr">
        <is>
          <t>-0.048</t>
        </is>
      </c>
    </row>
    <row r="7">
      <c r="A7" t="inlineStr"/>
      <c r="B7" t="inlineStr">
        <is>
          <t>P</t>
        </is>
      </c>
      <c r="C7" t="inlineStr">
        <is>
          <t>0.220</t>
        </is>
      </c>
      <c r="D7" t="inlineStr">
        <is>
          <t>0.181</t>
        </is>
      </c>
      <c r="E7" t="inlineStr"/>
      <c r="F7" t="inlineStr">
        <is>
          <t>0.112</t>
        </is>
      </c>
      <c r="G7" t="inlineStr">
        <is>
          <t>0.291</t>
        </is>
      </c>
    </row>
    <row r="8">
      <c r="A8" t="inlineStr">
        <is>
          <t>TP53Expression</t>
        </is>
      </c>
      <c r="B8" t="inlineStr">
        <is>
          <t>R</t>
        </is>
      </c>
      <c r="C8" t="inlineStr">
        <is>
          <t>-0.143</t>
        </is>
      </c>
      <c r="D8" t="inlineStr">
        <is>
          <t>0.046</t>
        </is>
      </c>
      <c r="E8" t="inlineStr">
        <is>
          <t>0.072</t>
        </is>
      </c>
      <c r="F8" t="inlineStr">
        <is>
          <t>1</t>
        </is>
      </c>
      <c r="G8" t="inlineStr">
        <is>
          <t>0.067</t>
        </is>
      </c>
    </row>
    <row r="9">
      <c r="A9" t="inlineStr"/>
      <c r="B9" t="inlineStr">
        <is>
          <t>P</t>
        </is>
      </c>
      <c r="C9" t="inlineStr">
        <is>
          <t>0.001</t>
        </is>
      </c>
      <c r="D9" t="inlineStr">
        <is>
          <t>0.408</t>
        </is>
      </c>
      <c r="E9" t="inlineStr">
        <is>
          <t>0.112</t>
        </is>
      </c>
      <c r="F9" t="inlineStr"/>
      <c r="G9" t="inlineStr">
        <is>
          <t>0.139</t>
        </is>
      </c>
    </row>
    <row r="10">
      <c r="A10" t="inlineStr">
        <is>
          <t>ALKExpression</t>
        </is>
      </c>
      <c r="B10" t="inlineStr">
        <is>
          <t>R</t>
        </is>
      </c>
      <c r="C10" t="inlineStr">
        <is>
          <t>-0.091</t>
        </is>
      </c>
      <c r="D10" t="inlineStr">
        <is>
          <t>0.010</t>
        </is>
      </c>
      <c r="E10" t="inlineStr">
        <is>
          <t>-0.048</t>
        </is>
      </c>
      <c r="F10" t="inlineStr">
        <is>
          <t>0.067</t>
        </is>
      </c>
      <c r="G10" t="inlineStr">
        <is>
          <t>1</t>
        </is>
      </c>
    </row>
    <row r="11">
      <c r="A11" t="inlineStr"/>
      <c r="B11" t="inlineStr">
        <is>
          <t>P</t>
        </is>
      </c>
      <c r="C11" t="inlineStr">
        <is>
          <t>0.043</t>
        </is>
      </c>
      <c r="D11" t="inlineStr">
        <is>
          <t>0.859</t>
        </is>
      </c>
      <c r="E11" t="inlineStr">
        <is>
          <t>0.291</t>
        </is>
      </c>
      <c r="F11" t="inlineStr">
        <is>
          <t>0.139</t>
        </is>
      </c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P-value</t>
        </is>
      </c>
    </row>
    <row r="2">
      <c r="A2" t="inlineStr">
        <is>
          <t>age_at_initial_pathologic_diagnosis</t>
        </is>
      </c>
      <c r="B2" t="n">
        <v>1.01</v>
      </c>
      <c r="C2" t="inlineStr">
        <is>
          <t>0.310</t>
        </is>
      </c>
    </row>
    <row r="3">
      <c r="A3" t="inlineStr">
        <is>
          <t>number_pack_years_smoked</t>
        </is>
      </c>
      <c r="B3" t="n">
        <v>1</v>
      </c>
      <c r="C3" t="inlineStr">
        <is>
          <t>0.914</t>
        </is>
      </c>
    </row>
    <row r="4">
      <c r="A4" t="inlineStr">
        <is>
          <t>TP53Expression</t>
        </is>
      </c>
      <c r="B4" t="n">
        <v>1</v>
      </c>
      <c r="C4" t="inlineStr">
        <is>
          <t>0.896</t>
        </is>
      </c>
    </row>
    <row r="5">
      <c r="A5" t="inlineStr">
        <is>
          <t>ALKExpression</t>
        </is>
      </c>
      <c r="B5" t="n">
        <v>0.993</v>
      </c>
      <c r="C5" t="inlineStr">
        <is>
          <t>0.231</t>
        </is>
      </c>
    </row>
    <row r="6">
      <c r="A6" t="inlineStr">
        <is>
          <t>SignatureGroup_LOXL2_ITGB1_PLAUR_SNAI1_VEGFC_Low</t>
        </is>
      </c>
      <c r="B6" t="n">
        <v>0.606</v>
      </c>
      <c r="C6" t="inlineStr">
        <is>
          <t>0.013</t>
        </is>
      </c>
    </row>
    <row r="7">
      <c r="A7" t="inlineStr">
        <is>
          <t>gender_MALE</t>
        </is>
      </c>
      <c r="B7" t="n">
        <v>1.384</v>
      </c>
      <c r="C7" t="inlineStr">
        <is>
          <t>0.105</t>
        </is>
      </c>
    </row>
    <row r="8">
      <c r="A8" t="inlineStr">
        <is>
          <t>pathologic_stage_2.0</t>
        </is>
      </c>
      <c r="B8" t="n">
        <v>1.946</v>
      </c>
      <c r="C8" t="inlineStr">
        <is>
          <t>0.005</t>
        </is>
      </c>
    </row>
    <row r="9">
      <c r="A9" t="inlineStr">
        <is>
          <t>pathologic_stage_3.0</t>
        </is>
      </c>
      <c r="B9" t="n">
        <v>2.573</v>
      </c>
      <c r="C9" t="inlineStr">
        <is>
          <t>&lt;0.001</t>
        </is>
      </c>
    </row>
    <row r="10">
      <c r="A10" t="inlineStr">
        <is>
          <t>pathologic_stage_4.0</t>
        </is>
      </c>
      <c r="B10" t="n">
        <v>2.405</v>
      </c>
      <c r="C10" t="inlineStr">
        <is>
          <t>0.016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Pathologic Stage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SignatureScore_LOXL2_ITGB1_PLAUR_SNAI1_VEGFC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SignatureScore_LOXL2_ITGB1_PLAUR_SNAI1_VEGFC ~ age_at_initial_pathologic_diagnosis + C(gender) + number_pack_years_smoked + TP53Expression + ALKExpression + C(pathologic_stage)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0.0790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8.0797e-04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0.2194</v>
      </c>
      <c r="C8" t="n">
        <v>-0.2768</v>
      </c>
      <c r="D8" t="n">
        <v>0.7157</v>
      </c>
      <c r="E8" t="inlineStr">
        <is>
          <t>0.385</t>
        </is>
      </c>
    </row>
    <row r="9">
      <c r="A9" t="inlineStr">
        <is>
          <t>C(gender)[T.MALE]</t>
        </is>
      </c>
      <c r="B9" t="n">
        <v>0.0028</v>
      </c>
      <c r="C9" t="n">
        <v>-0.1466</v>
      </c>
      <c r="D9" t="n">
        <v>0.1522</v>
      </c>
      <c r="E9" t="inlineStr">
        <is>
          <t>0.971</t>
        </is>
      </c>
    </row>
    <row r="10">
      <c r="A10" t="inlineStr">
        <is>
          <t>C(pathologic_stage)[T.2.0]</t>
        </is>
      </c>
      <c r="B10" t="n">
        <v>0.1875</v>
      </c>
      <c r="C10" t="n">
        <v>0.008500000000000001</v>
      </c>
      <c r="D10" t="n">
        <v>0.3664</v>
      </c>
      <c r="E10" t="inlineStr">
        <is>
          <t>0.040</t>
        </is>
      </c>
    </row>
    <row r="11">
      <c r="A11" t="inlineStr">
        <is>
          <t>C(pathologic_stage)[T.3.0]</t>
        </is>
      </c>
      <c r="B11" t="n">
        <v>0.2546</v>
      </c>
      <c r="C11" t="n">
        <v>0.055</v>
      </c>
      <c r="D11" t="n">
        <v>0.4542</v>
      </c>
      <c r="E11" t="inlineStr">
        <is>
          <t>0.013</t>
        </is>
      </c>
    </row>
    <row r="12">
      <c r="A12" t="inlineStr">
        <is>
          <t>C(pathologic_stage)[T.4.0]</t>
        </is>
      </c>
      <c r="B12" t="n">
        <v>-0.0193</v>
      </c>
      <c r="C12" t="n">
        <v>-0.3531</v>
      </c>
      <c r="D12" t="n">
        <v>0.3145</v>
      </c>
      <c r="E12" t="inlineStr">
        <is>
          <t>0.910</t>
        </is>
      </c>
    </row>
    <row r="13">
      <c r="A13" t="inlineStr">
        <is>
          <t>age_at_initial_pathologic_diagnosis</t>
        </is>
      </c>
      <c r="B13" t="n">
        <v>-0.0014</v>
      </c>
      <c r="C13" t="n">
        <v>-0.008800000000000001</v>
      </c>
      <c r="D13" t="n">
        <v>0.0059</v>
      </c>
      <c r="E13" t="inlineStr">
        <is>
          <t>0.698</t>
        </is>
      </c>
    </row>
    <row r="14">
      <c r="A14" t="inlineStr">
        <is>
          <t>number_pack_years_smoked</t>
        </is>
      </c>
      <c r="B14" t="n">
        <v>0.002</v>
      </c>
      <c r="C14" t="n">
        <v>-0.0007</v>
      </c>
      <c r="D14" t="n">
        <v>0.0047</v>
      </c>
      <c r="E14" t="inlineStr">
        <is>
          <t>0.138</t>
        </is>
      </c>
    </row>
    <row r="15">
      <c r="A15" t="inlineStr">
        <is>
          <t>TP53Expression</t>
        </is>
      </c>
      <c r="B15" t="n">
        <v>-0.0002</v>
      </c>
      <c r="C15" t="n">
        <v>-0.0003</v>
      </c>
      <c r="D15" t="n">
        <v>-0.0001</v>
      </c>
      <c r="E15" t="inlineStr">
        <is>
          <t>&lt;0.001</t>
        </is>
      </c>
    </row>
    <row r="16">
      <c r="A16" t="inlineStr">
        <is>
          <t>ALKExpression</t>
        </is>
      </c>
      <c r="B16" t="n">
        <v>-0.0009</v>
      </c>
      <c r="C16" t="n">
        <v>-0.0021</v>
      </c>
      <c r="D16" t="n">
        <v>0.0004</v>
      </c>
      <c r="E16" t="inlineStr">
        <is>
          <t>0.176</t>
        </is>
      </c>
    </row>
    <row r="17">
      <c r="A17" t="inlineStr"/>
      <c r="B17" t="inlineStr"/>
      <c r="C17" t="inlineStr"/>
      <c r="D17" t="inlineStr"/>
      <c r="E17" t="inlineStr"/>
    </row>
    <row r="18">
      <c r="A18">
        <f>== [ Model: Pathologic T ] ===</f>
        <v/>
      </c>
      <c r="B18" t="inlineStr"/>
      <c r="C18" t="inlineStr"/>
      <c r="D18" t="inlineStr"/>
      <c r="E18" t="inlineStr"/>
    </row>
    <row r="19">
      <c r="A19" t="inlineStr">
        <is>
          <t>Dependent Variable (Y)</t>
        </is>
      </c>
      <c r="B19" t="inlineStr">
        <is>
          <t>SignatureScore_LOXL2_ITGB1_PLAUR_SNAI1_VEGFC</t>
        </is>
      </c>
      <c r="C19" t="inlineStr"/>
      <c r="D19" t="inlineStr"/>
      <c r="E19" t="inlineStr"/>
    </row>
    <row r="20">
      <c r="A20" t="inlineStr">
        <is>
          <t>Model Formula</t>
        </is>
      </c>
      <c r="B20" t="inlineStr">
        <is>
          <t>SignatureScore_LOXL2_ITGB1_PLAUR_SNAI1_VEGFC ~ age_at_initial_pathologic_diagnosis + C(gender) + number_pack_years_smoked + TP53Expression + ALKExpression + C(pathologic_T)</t>
        </is>
      </c>
      <c r="C20" t="inlineStr"/>
      <c r="D20" t="inlineStr"/>
      <c r="E20" t="inlineStr"/>
    </row>
    <row r="21">
      <c r="A21" t="inlineStr">
        <is>
          <t>R-squared</t>
        </is>
      </c>
      <c r="B21" t="inlineStr">
        <is>
          <t>0.0900</t>
        </is>
      </c>
      <c r="C21" t="inlineStr"/>
      <c r="D21" t="inlineStr"/>
      <c r="E21" t="inlineStr"/>
    </row>
    <row r="22">
      <c r="A22" t="inlineStr">
        <is>
          <t>Prob (F-statistic)</t>
        </is>
      </c>
      <c r="B22" t="inlineStr">
        <is>
          <t>1.5039e-04</t>
        </is>
      </c>
      <c r="C22" t="inlineStr"/>
      <c r="D22" t="inlineStr"/>
      <c r="E22" t="inlineStr"/>
    </row>
    <row r="23">
      <c r="A23" t="inlineStr">
        <is>
          <t>--- [ Coefficients ] ---</t>
        </is>
      </c>
      <c r="B23" t="inlineStr"/>
      <c r="C23" t="inlineStr"/>
      <c r="D23" t="inlineStr"/>
      <c r="E23" t="inlineStr"/>
    </row>
    <row r="24">
      <c r="A24" t="inlineStr">
        <is>
          <t>Intercept</t>
        </is>
      </c>
      <c r="B24" t="n">
        <v>0.1522</v>
      </c>
      <c r="C24" t="n">
        <v>-0.3409</v>
      </c>
      <c r="D24" t="n">
        <v>0.6453</v>
      </c>
      <c r="E24" t="inlineStr">
        <is>
          <t>0.544</t>
        </is>
      </c>
    </row>
    <row r="25">
      <c r="A25" t="inlineStr">
        <is>
          <t>C(gender)[T.MALE]</t>
        </is>
      </c>
      <c r="B25" t="n">
        <v>-0.0232</v>
      </c>
      <c r="C25" t="n">
        <v>-0.172</v>
      </c>
      <c r="D25" t="n">
        <v>0.1257</v>
      </c>
      <c r="E25" t="inlineStr">
        <is>
          <t>0.760</t>
        </is>
      </c>
    </row>
    <row r="26">
      <c r="A26" t="inlineStr">
        <is>
          <t>C(pathologic_T)[T.2.0]</t>
        </is>
      </c>
      <c r="B26" t="n">
        <v>0.1811</v>
      </c>
      <c r="C26" t="n">
        <v>0.0219</v>
      </c>
      <c r="D26" t="n">
        <v>0.3403</v>
      </c>
      <c r="E26" t="inlineStr">
        <is>
          <t>0.026</t>
        </is>
      </c>
    </row>
    <row r="27">
      <c r="A27" t="inlineStr">
        <is>
          <t>C(pathologic_T)[T.3.0]</t>
        </is>
      </c>
      <c r="B27" t="n">
        <v>0.4296</v>
      </c>
      <c r="C27" t="n">
        <v>0.1614</v>
      </c>
      <c r="D27" t="n">
        <v>0.6978</v>
      </c>
      <c r="E27" t="inlineStr">
        <is>
          <t>0.002</t>
        </is>
      </c>
    </row>
    <row r="28">
      <c r="A28" t="inlineStr">
        <is>
          <t>C(pathologic_T)[T.4.0]</t>
        </is>
      </c>
      <c r="B28" t="n">
        <v>0.3932</v>
      </c>
      <c r="C28" t="n">
        <v>0.0147</v>
      </c>
      <c r="D28" t="n">
        <v>0.7716</v>
      </c>
      <c r="E28" t="inlineStr">
        <is>
          <t>0.042</t>
        </is>
      </c>
    </row>
    <row r="29">
      <c r="A29" t="inlineStr">
        <is>
          <t>age_at_initial_pathologic_diagnosis</t>
        </is>
      </c>
      <c r="B29" t="n">
        <v>-0.0013</v>
      </c>
      <c r="C29" t="n">
        <v>-0.008399999999999999</v>
      </c>
      <c r="D29" t="n">
        <v>0.0059</v>
      </c>
      <c r="E29" t="inlineStr">
        <is>
          <t>0.726</t>
        </is>
      </c>
    </row>
    <row r="30">
      <c r="A30" t="inlineStr">
        <is>
          <t>number_pack_years_smoked</t>
        </is>
      </c>
      <c r="B30" t="n">
        <v>0.0019</v>
      </c>
      <c r="C30" t="n">
        <v>-0.0008</v>
      </c>
      <c r="D30" t="n">
        <v>0.0045</v>
      </c>
      <c r="E30" t="inlineStr">
        <is>
          <t>0.169</t>
        </is>
      </c>
    </row>
    <row r="31">
      <c r="A31" t="inlineStr">
        <is>
          <t>TP53Expression</t>
        </is>
      </c>
      <c r="B31" t="n">
        <v>-0.0002</v>
      </c>
      <c r="C31" t="n">
        <v>-0.0003</v>
      </c>
      <c r="D31" t="n">
        <v>-0.0001</v>
      </c>
      <c r="E31" t="inlineStr">
        <is>
          <t>&lt;0.001</t>
        </is>
      </c>
    </row>
    <row r="32">
      <c r="A32" t="inlineStr">
        <is>
          <t>ALKExpression</t>
        </is>
      </c>
      <c r="B32" t="n">
        <v>-0.001</v>
      </c>
      <c r="C32" t="n">
        <v>-0.0023</v>
      </c>
      <c r="D32" t="n">
        <v>0.0002</v>
      </c>
      <c r="E32" t="inlineStr">
        <is>
          <t>0.113</t>
        </is>
      </c>
    </row>
    <row r="33">
      <c r="A33" t="inlineStr"/>
      <c r="B33" t="inlineStr"/>
      <c r="C33" t="inlineStr"/>
      <c r="D33" t="inlineStr"/>
      <c r="E33" t="inlineStr"/>
    </row>
    <row r="34">
      <c r="A34">
        <f>== [ Model: Pathologic N ] ===</f>
        <v/>
      </c>
      <c r="B34" t="inlineStr"/>
      <c r="C34" t="inlineStr"/>
      <c r="D34" t="inlineStr"/>
      <c r="E34" t="inlineStr"/>
    </row>
    <row r="35">
      <c r="A35" t="inlineStr">
        <is>
          <t>Dependent Variable (Y)</t>
        </is>
      </c>
      <c r="B35" t="inlineStr">
        <is>
          <t>SignatureScore_LOXL2_ITGB1_PLAUR_SNAI1_VEGFC</t>
        </is>
      </c>
      <c r="C35" t="inlineStr"/>
      <c r="D35" t="inlineStr"/>
      <c r="E35" t="inlineStr"/>
    </row>
    <row r="36">
      <c r="A36" t="inlineStr">
        <is>
          <t>Model Formula</t>
        </is>
      </c>
      <c r="B36" t="inlineStr">
        <is>
          <t>SignatureScore_LOXL2_ITGB1_PLAUR_SNAI1_VEGFC ~ age_at_initial_pathologic_diagnosis + C(gender) + number_pack_years_smoked + TP53Expression + ALKExpression + C(pathologic_N)</t>
        </is>
      </c>
      <c r="C36" t="inlineStr"/>
      <c r="D36" t="inlineStr"/>
      <c r="E36" t="inlineStr"/>
    </row>
    <row r="37">
      <c r="A37" t="inlineStr">
        <is>
          <t>R-squared</t>
        </is>
      </c>
      <c r="B37" t="inlineStr">
        <is>
          <t>0.0637</t>
        </is>
      </c>
      <c r="C37" t="inlineStr"/>
      <c r="D37" t="inlineStr"/>
      <c r="E37" t="inlineStr"/>
    </row>
    <row r="38">
      <c r="A38" t="inlineStr">
        <is>
          <t>Prob (F-statistic)</t>
        </is>
      </c>
      <c r="B38" t="inlineStr">
        <is>
          <t>6.6500e-03</t>
        </is>
      </c>
      <c r="C38" t="inlineStr"/>
      <c r="D38" t="inlineStr"/>
      <c r="E38" t="inlineStr"/>
    </row>
    <row r="39">
      <c r="A39" t="inlineStr">
        <is>
          <t>--- [ Coefficients ] ---</t>
        </is>
      </c>
      <c r="B39" t="inlineStr"/>
      <c r="C39" t="inlineStr"/>
      <c r="D39" t="inlineStr"/>
      <c r="E39" t="inlineStr"/>
    </row>
    <row r="40">
      <c r="A40" t="inlineStr">
        <is>
          <t>Intercept</t>
        </is>
      </c>
      <c r="B40" t="n">
        <v>0.2816</v>
      </c>
      <c r="C40" t="n">
        <v>-0.2184</v>
      </c>
      <c r="D40" t="n">
        <v>0.7816</v>
      </c>
      <c r="E40" t="inlineStr">
        <is>
          <t>0.269</t>
        </is>
      </c>
    </row>
    <row r="41">
      <c r="A41" t="inlineStr">
        <is>
          <t>C(gender)[T.MALE]</t>
        </is>
      </c>
      <c r="B41" t="n">
        <v>0.0057</v>
      </c>
      <c r="C41" t="n">
        <v>-0.1454</v>
      </c>
      <c r="D41" t="n">
        <v>0.1569</v>
      </c>
      <c r="E41" t="inlineStr">
        <is>
          <t>0.941</t>
        </is>
      </c>
    </row>
    <row r="42">
      <c r="A42" t="inlineStr">
        <is>
          <t>C(pathologic_N)[T.1.0]</t>
        </is>
      </c>
      <c r="B42" t="n">
        <v>0.1247</v>
      </c>
      <c r="C42" t="n">
        <v>-0.06610000000000001</v>
      </c>
      <c r="D42" t="n">
        <v>0.3154</v>
      </c>
      <c r="E42" t="inlineStr">
        <is>
          <t>0.199</t>
        </is>
      </c>
    </row>
    <row r="43">
      <c r="A43" t="inlineStr">
        <is>
          <t>C(pathologic_N)[T.2.0]</t>
        </is>
      </c>
      <c r="B43" t="n">
        <v>0.1776</v>
      </c>
      <c r="C43" t="n">
        <v>-0.036</v>
      </c>
      <c r="D43" t="n">
        <v>0.3913</v>
      </c>
      <c r="E43" t="inlineStr">
        <is>
          <t>0.103</t>
        </is>
      </c>
    </row>
    <row r="44">
      <c r="A44" t="inlineStr">
        <is>
          <t>C(pathologic_N)[T.3.0]</t>
        </is>
      </c>
      <c r="B44" t="n">
        <v>0.018</v>
      </c>
      <c r="C44" t="n">
        <v>-0.9202</v>
      </c>
      <c r="D44" t="n">
        <v>0.9562</v>
      </c>
      <c r="E44" t="inlineStr">
        <is>
          <t>0.970</t>
        </is>
      </c>
    </row>
    <row r="45">
      <c r="A45" t="inlineStr">
        <is>
          <t>age_at_initial_pathologic_diagnosis</t>
        </is>
      </c>
      <c r="B45" t="n">
        <v>-0.0015</v>
      </c>
      <c r="C45" t="n">
        <v>-0.0089</v>
      </c>
      <c r="D45" t="n">
        <v>0.0059</v>
      </c>
      <c r="E45" t="inlineStr">
        <is>
          <t>0.690</t>
        </is>
      </c>
    </row>
    <row r="46">
      <c r="A46" t="inlineStr">
        <is>
          <t>number_pack_years_smoked</t>
        </is>
      </c>
      <c r="B46" t="n">
        <v>0.0018</v>
      </c>
      <c r="C46" t="n">
        <v>-0.0009</v>
      </c>
      <c r="D46" t="n">
        <v>0.0045</v>
      </c>
      <c r="E46" t="inlineStr">
        <is>
          <t>0.199</t>
        </is>
      </c>
    </row>
    <row r="47">
      <c r="A47" t="inlineStr">
        <is>
          <t>TP53Expression</t>
        </is>
      </c>
      <c r="B47" t="n">
        <v>-0.0002</v>
      </c>
      <c r="C47" t="n">
        <v>-0.0003</v>
      </c>
      <c r="D47" t="n">
        <v>-0.0001</v>
      </c>
      <c r="E47" t="inlineStr">
        <is>
          <t>&lt;0.001</t>
        </is>
      </c>
    </row>
    <row r="48">
      <c r="A48" t="inlineStr">
        <is>
          <t>ALKExpression</t>
        </is>
      </c>
      <c r="B48" t="n">
        <v>-0.0008</v>
      </c>
      <c r="C48" t="n">
        <v>-0.002</v>
      </c>
      <c r="D48" t="n">
        <v>0.0005</v>
      </c>
      <c r="E48" t="inlineStr">
        <is>
          <t>0.229</t>
        </is>
      </c>
    </row>
    <row r="49">
      <c r="A49" t="inlineStr"/>
      <c r="B49" t="inlineStr"/>
      <c r="C49" t="inlineStr"/>
      <c r="D49" t="inlineStr"/>
      <c r="E49" t="inlineStr"/>
    </row>
    <row r="50">
      <c r="A50">
        <f>== [ Model: Pathologic M ] ===</f>
        <v/>
      </c>
      <c r="B50" t="inlineStr"/>
      <c r="C50" t="inlineStr"/>
      <c r="D50" t="inlineStr"/>
      <c r="E50" t="inlineStr"/>
    </row>
    <row r="51">
      <c r="A51" t="inlineStr">
        <is>
          <t>Dependent Variable (Y)</t>
        </is>
      </c>
      <c r="B51" t="inlineStr">
        <is>
          <t>SignatureScore_LOXL2_ITGB1_PLAUR_SNAI1_VEGFC</t>
        </is>
      </c>
      <c r="C51" t="inlineStr"/>
      <c r="D51" t="inlineStr"/>
      <c r="E51" t="inlineStr"/>
    </row>
    <row r="52">
      <c r="A52" t="inlineStr">
        <is>
          <t>Model Formula</t>
        </is>
      </c>
      <c r="B52" t="inlineStr">
        <is>
          <t>SignatureScore_LOXL2_ITGB1_PLAUR_SNAI1_VEGFC ~ age_at_initial_pathologic_diagnosis + C(gender) + number_pack_years_smoked + TP53Expression + ALKExpression + C(pathologic_M)</t>
        </is>
      </c>
      <c r="C52" t="inlineStr"/>
      <c r="D52" t="inlineStr"/>
      <c r="E52" t="inlineStr"/>
    </row>
    <row r="53">
      <c r="A53" t="inlineStr">
        <is>
          <t>R-squared</t>
        </is>
      </c>
      <c r="B53" t="inlineStr">
        <is>
          <t>0.0617</t>
        </is>
      </c>
      <c r="C53" t="inlineStr"/>
      <c r="D53" t="inlineStr"/>
      <c r="E53" t="inlineStr"/>
    </row>
    <row r="54">
      <c r="A54" t="inlineStr">
        <is>
          <t>Prob (F-statistic)</t>
        </is>
      </c>
      <c r="B54" t="inlineStr">
        <is>
          <t>2.2614e-02</t>
        </is>
      </c>
      <c r="C54" t="inlineStr"/>
      <c r="D54" t="inlineStr"/>
      <c r="E54" t="inlineStr"/>
    </row>
    <row r="55">
      <c r="A55" t="inlineStr">
        <is>
          <t>--- [ Coefficients ] ---</t>
        </is>
      </c>
      <c r="B55" t="inlineStr"/>
      <c r="C55" t="inlineStr"/>
      <c r="D55" t="inlineStr"/>
      <c r="E55" t="inlineStr"/>
    </row>
    <row r="56">
      <c r="A56" t="inlineStr">
        <is>
          <t>Intercept</t>
        </is>
      </c>
      <c r="B56" t="n">
        <v>0.2157</v>
      </c>
      <c r="C56" t="n">
        <v>-0.4028</v>
      </c>
      <c r="D56" t="n">
        <v>0.8342000000000001</v>
      </c>
      <c r="E56" t="inlineStr">
        <is>
          <t>0.493</t>
        </is>
      </c>
    </row>
    <row r="57">
      <c r="A57" t="inlineStr">
        <is>
          <t>C(gender)[T.MALE]</t>
        </is>
      </c>
      <c r="B57" t="n">
        <v>0.0244</v>
      </c>
      <c r="C57" t="n">
        <v>-0.1674</v>
      </c>
      <c r="D57" t="n">
        <v>0.2161</v>
      </c>
      <c r="E57" t="inlineStr">
        <is>
          <t>0.803</t>
        </is>
      </c>
    </row>
    <row r="58">
      <c r="A58" t="inlineStr">
        <is>
          <t>C(pathologic_M)[T.1.0]</t>
        </is>
      </c>
      <c r="B58" t="n">
        <v>-0.1742</v>
      </c>
      <c r="C58" t="n">
        <v>-0.5369</v>
      </c>
      <c r="D58" t="n">
        <v>0.1884</v>
      </c>
      <c r="E58" t="inlineStr">
        <is>
          <t>0.345</t>
        </is>
      </c>
    </row>
    <row r="59">
      <c r="A59" t="inlineStr">
        <is>
          <t>age_at_initial_pathologic_diagnosis</t>
        </is>
      </c>
      <c r="B59" t="n">
        <v>0.0008</v>
      </c>
      <c r="C59" t="n">
        <v>-0.008500000000000001</v>
      </c>
      <c r="D59" t="n">
        <v>0.0102</v>
      </c>
      <c r="E59" t="inlineStr">
        <is>
          <t>0.865</t>
        </is>
      </c>
    </row>
    <row r="60">
      <c r="A60" t="inlineStr">
        <is>
          <t>number_pack_years_smoked</t>
        </is>
      </c>
      <c r="B60" t="n">
        <v>0.0025</v>
      </c>
      <c r="C60" t="n">
        <v>-0.001</v>
      </c>
      <c r="D60" t="n">
        <v>0.006</v>
      </c>
      <c r="E60" t="inlineStr">
        <is>
          <t>0.166</t>
        </is>
      </c>
    </row>
    <row r="61">
      <c r="A61" t="inlineStr">
        <is>
          <t>TP53Expression</t>
        </is>
      </c>
      <c r="B61" t="n">
        <v>-0.0002</v>
      </c>
      <c r="C61" t="n">
        <v>-0.0003</v>
      </c>
      <c r="D61" t="n">
        <v>-0.0001</v>
      </c>
      <c r="E61" t="inlineStr">
        <is>
          <t>0.002</t>
        </is>
      </c>
    </row>
    <row r="62">
      <c r="A62" t="inlineStr">
        <is>
          <t>ALKExpression</t>
        </is>
      </c>
      <c r="B62" t="n">
        <v>-0.0011</v>
      </c>
      <c r="C62" t="n">
        <v>-0.0027</v>
      </c>
      <c r="D62" t="n">
        <v>0.0005</v>
      </c>
      <c r="E62" t="inlineStr">
        <is>
          <t>0.166</t>
        </is>
      </c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2026-06-22T19:06:31Z</dcterms:created>
  <dcterms:modified xsi:type="dcterms:W3CDTF">2026-06-22T19:06:31Z</dcterms:modified>
</cp:coreProperties>
</file>
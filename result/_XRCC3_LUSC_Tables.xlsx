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 (Chi-square)" sheetId="1" state="visible" r:id="rId1"/>
    <sheet name="Table 2 (Correlation)" sheetId="2" state="visible" r:id="rId2"/>
    <sheet name="Table 3 (Cox)" sheetId="3" state="visible" r:id="rId3"/>
    <sheet name="Table 3.1 (Cox)_stage_continuous" sheetId="4" state="visible" r:id="rId4"/>
    <sheet name="Table 4 (Multivariate OLS)" sheetId="5" state="visible" r:id="rId5"/>
    <sheet name="Table 5 (KM Log-rank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Clinical Characteristics</t>
        </is>
      </c>
      <c r="B1" s="1" t="inlineStr"/>
      <c r="C1" s="1" t="inlineStr">
        <is>
          <t>High</t>
        </is>
      </c>
      <c r="D1" s="1" t="inlineStr">
        <is>
          <t>Low</t>
        </is>
      </c>
      <c r="E1" s="1" t="inlineStr">
        <is>
          <t>P-value</t>
        </is>
      </c>
    </row>
    <row r="2">
      <c r="A2" t="inlineStr">
        <is>
          <t>ageG</t>
        </is>
      </c>
      <c r="B2" t="inlineStr"/>
      <c r="C2" t="inlineStr"/>
      <c r="D2" t="inlineStr"/>
      <c r="E2" t="inlineStr"/>
    </row>
    <row r="3">
      <c r="A3" t="inlineStr">
        <is>
          <t xml:space="preserve">  0.0</t>
        </is>
      </c>
      <c r="B3" t="n">
        <v>1</v>
      </c>
      <c r="C3" t="n">
        <v>109</v>
      </c>
      <c r="D3" t="n">
        <v>79</v>
      </c>
      <c r="E3" t="inlineStr">
        <is>
          <t>0.008</t>
        </is>
      </c>
    </row>
    <row r="4">
      <c r="A4" t="inlineStr">
        <is>
          <t xml:space="preserve">  1.0</t>
        </is>
      </c>
      <c r="B4" t="n">
        <v>0</v>
      </c>
      <c r="C4" t="n">
        <v>134</v>
      </c>
      <c r="D4" t="n">
        <v>165</v>
      </c>
      <c r="E4" t="inlineStr"/>
    </row>
    <row r="5">
      <c r="A5" t="inlineStr">
        <is>
          <t>gender</t>
        </is>
      </c>
      <c r="B5" t="inlineStr"/>
      <c r="C5" t="inlineStr"/>
      <c r="D5" t="inlineStr"/>
      <c r="E5" t="inlineStr"/>
    </row>
    <row r="6">
      <c r="A6" t="inlineStr">
        <is>
          <t xml:space="preserve">  FEMALE</t>
        </is>
      </c>
      <c r="B6" t="n">
        <v>0</v>
      </c>
      <c r="C6" t="n">
        <v>53</v>
      </c>
      <c r="D6" t="n">
        <v>73</v>
      </c>
      <c r="E6" t="inlineStr">
        <is>
          <t>0.104</t>
        </is>
      </c>
    </row>
    <row r="7">
      <c r="A7" t="inlineStr">
        <is>
          <t xml:space="preserve">  MALE</t>
        </is>
      </c>
      <c r="B7" t="n">
        <v>1</v>
      </c>
      <c r="C7" t="n">
        <v>190</v>
      </c>
      <c r="D7" t="n">
        <v>171</v>
      </c>
      <c r="E7" t="inlineStr"/>
    </row>
    <row r="8">
      <c r="A8" t="inlineStr">
        <is>
          <t>pathologic_stage</t>
        </is>
      </c>
      <c r="B8" t="inlineStr"/>
      <c r="C8" t="inlineStr"/>
      <c r="D8" t="inlineStr"/>
      <c r="E8" t="inlineStr"/>
    </row>
    <row r="9">
      <c r="A9" t="inlineStr">
        <is>
          <t xml:space="preserve">  1.0</t>
        </is>
      </c>
      <c r="B9" t="n">
        <v>1</v>
      </c>
      <c r="C9" t="n">
        <v>103</v>
      </c>
      <c r="D9" t="n">
        <v>134</v>
      </c>
      <c r="E9" t="inlineStr">
        <is>
          <t>0.061</t>
        </is>
      </c>
    </row>
    <row r="10">
      <c r="A10" t="inlineStr">
        <is>
          <t xml:space="preserve">  2.0</t>
        </is>
      </c>
      <c r="B10" t="n">
        <v>0</v>
      </c>
      <c r="C10" t="n">
        <v>82</v>
      </c>
      <c r="D10" t="n">
        <v>74</v>
      </c>
      <c r="E10" t="inlineStr"/>
    </row>
    <row r="11">
      <c r="A11" t="inlineStr">
        <is>
          <t xml:space="preserve">  3.0</t>
        </is>
      </c>
      <c r="B11" t="n">
        <v>0</v>
      </c>
      <c r="C11" t="n">
        <v>53</v>
      </c>
      <c r="D11" t="n">
        <v>30</v>
      </c>
      <c r="E11" t="inlineStr"/>
    </row>
    <row r="12">
      <c r="A12" t="inlineStr">
        <is>
          <t xml:space="preserve">  4.0</t>
        </is>
      </c>
      <c r="B12" t="n">
        <v>0</v>
      </c>
      <c r="C12" t="n">
        <v>3</v>
      </c>
      <c r="D12" t="n">
        <v>4</v>
      </c>
      <c r="E12" t="inlineStr"/>
    </row>
    <row r="13">
      <c r="A13" t="inlineStr">
        <is>
          <t>pathologic_M</t>
        </is>
      </c>
      <c r="B13" t="inlineStr"/>
      <c r="C13" t="inlineStr"/>
      <c r="D13" t="inlineStr"/>
      <c r="E13" t="inlineStr"/>
    </row>
    <row r="14">
      <c r="A14" t="inlineStr">
        <is>
          <t xml:space="preserve">  0.0</t>
        </is>
      </c>
      <c r="B14" t="n">
        <v>1</v>
      </c>
      <c r="C14" t="n">
        <v>201</v>
      </c>
      <c r="D14" t="n">
        <v>199</v>
      </c>
      <c r="E14" t="inlineStr">
        <is>
          <t>0.919</t>
        </is>
      </c>
    </row>
    <row r="15">
      <c r="A15" t="inlineStr">
        <is>
          <t xml:space="preserve">  1.0</t>
        </is>
      </c>
      <c r="B15" t="n">
        <v>0</v>
      </c>
      <c r="C15" t="n">
        <v>3</v>
      </c>
      <c r="D15" t="n">
        <v>4</v>
      </c>
      <c r="E15" t="inlineStr"/>
    </row>
    <row r="16">
      <c r="A16" t="inlineStr">
        <is>
          <t>pathologic_N</t>
        </is>
      </c>
      <c r="B16" t="inlineStr"/>
      <c r="C16" t="inlineStr"/>
      <c r="D16" t="inlineStr"/>
      <c r="E16" t="inlineStr"/>
    </row>
    <row r="17">
      <c r="A17" t="inlineStr">
        <is>
          <t xml:space="preserve">  0.0</t>
        </is>
      </c>
      <c r="B17" t="n">
        <v>1</v>
      </c>
      <c r="C17" t="n">
        <v>142</v>
      </c>
      <c r="D17" t="n">
        <v>168</v>
      </c>
      <c r="E17" t="inlineStr">
        <is>
          <t>0.231</t>
        </is>
      </c>
    </row>
    <row r="18">
      <c r="A18" t="inlineStr">
        <is>
          <t xml:space="preserve">  1.0</t>
        </is>
      </c>
      <c r="B18" t="n">
        <v>0</v>
      </c>
      <c r="C18" t="n">
        <v>70</v>
      </c>
      <c r="D18" t="n">
        <v>56</v>
      </c>
      <c r="E18" t="inlineStr"/>
    </row>
    <row r="19">
      <c r="A19" t="inlineStr">
        <is>
          <t xml:space="preserve">  2.0</t>
        </is>
      </c>
      <c r="B19" t="n">
        <v>0</v>
      </c>
      <c r="C19" t="n">
        <v>26</v>
      </c>
      <c r="D19" t="n">
        <v>14</v>
      </c>
      <c r="E19" t="inlineStr"/>
    </row>
    <row r="20">
      <c r="A20" t="inlineStr">
        <is>
          <t xml:space="preserve">  3.0</t>
        </is>
      </c>
      <c r="B20" t="n">
        <v>0</v>
      </c>
      <c r="C20" t="n">
        <v>2</v>
      </c>
      <c r="D20" t="n">
        <v>3</v>
      </c>
      <c r="E20" t="inlineStr"/>
    </row>
    <row r="21">
      <c r="A21" t="inlineStr">
        <is>
          <t>pathologic_T</t>
        </is>
      </c>
      <c r="B21" t="inlineStr"/>
      <c r="C21" t="inlineStr"/>
      <c r="D21" t="inlineStr"/>
      <c r="E21" t="inlineStr"/>
    </row>
    <row r="22">
      <c r="A22" t="inlineStr">
        <is>
          <t xml:space="preserve">  1.0</t>
        </is>
      </c>
      <c r="B22" t="n">
        <v>1</v>
      </c>
      <c r="C22" t="n">
        <v>42</v>
      </c>
      <c r="D22" t="n">
        <v>66</v>
      </c>
      <c r="E22" t="inlineStr">
        <is>
          <t>0.077</t>
        </is>
      </c>
    </row>
    <row r="23">
      <c r="A23" t="inlineStr">
        <is>
          <t xml:space="preserve">  2.0</t>
        </is>
      </c>
      <c r="B23" t="n">
        <v>0</v>
      </c>
      <c r="C23" t="n">
        <v>149</v>
      </c>
      <c r="D23" t="n">
        <v>137</v>
      </c>
      <c r="E23" t="inlineStr"/>
    </row>
    <row r="24">
      <c r="A24" t="inlineStr">
        <is>
          <t xml:space="preserve">  3.0</t>
        </is>
      </c>
      <c r="B24" t="n">
        <v>0</v>
      </c>
      <c r="C24" t="n">
        <v>41</v>
      </c>
      <c r="D24" t="n">
        <v>29</v>
      </c>
      <c r="E24" t="inlineStr"/>
    </row>
    <row r="25">
      <c r="A25" t="inlineStr">
        <is>
          <t xml:space="preserve">  4.0</t>
        </is>
      </c>
      <c r="B25" t="n">
        <v>0</v>
      </c>
      <c r="C25" t="n">
        <v>11</v>
      </c>
      <c r="D25" t="n">
        <v>12</v>
      </c>
      <c r="E25" t="inlineStr"/>
    </row>
    <row r="26">
      <c r="A26" t="inlineStr">
        <is>
          <t>SmokingStatus</t>
        </is>
      </c>
      <c r="B26" t="inlineStr"/>
      <c r="C26" t="inlineStr"/>
      <c r="D26" t="inlineStr"/>
      <c r="E26" t="inlineStr"/>
    </row>
    <row r="27">
      <c r="A27" t="inlineStr">
        <is>
          <t xml:space="preserve">  0.0</t>
        </is>
      </c>
      <c r="B27" t="n">
        <v>0</v>
      </c>
      <c r="C27" t="n">
        <v>39</v>
      </c>
      <c r="D27" t="n">
        <v>37</v>
      </c>
      <c r="E27" t="inlineStr">
        <is>
          <t>0.884</t>
        </is>
      </c>
    </row>
    <row r="28">
      <c r="A28" t="inlineStr">
        <is>
          <t xml:space="preserve">  1.0</t>
        </is>
      </c>
      <c r="B28" t="n">
        <v>1</v>
      </c>
      <c r="C28" t="n">
        <v>205</v>
      </c>
      <c r="D28" t="n">
        <v>207</v>
      </c>
      <c r="E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Stat</t>
        </is>
      </c>
      <c r="C1" s="1" t="inlineStr">
        <is>
          <t>XRCC3expression</t>
        </is>
      </c>
      <c r="D1" s="1" t="inlineStr">
        <is>
          <t>number_pack_years_smoked</t>
        </is>
      </c>
      <c r="E1" s="1" t="inlineStr">
        <is>
          <t>age</t>
        </is>
      </c>
      <c r="F1" s="1" t="inlineStr">
        <is>
          <t>TP53Expression</t>
        </is>
      </c>
      <c r="G1" s="1" t="inlineStr">
        <is>
          <t>CDKN2AExpression</t>
        </is>
      </c>
      <c r="H1" s="1" t="inlineStr">
        <is>
          <t>SOX2Expression</t>
        </is>
      </c>
      <c r="I1" s="1" t="inlineStr">
        <is>
          <t>PIK3CAExpression</t>
        </is>
      </c>
      <c r="J1" s="1" t="inlineStr">
        <is>
          <t>NOTCH1Expression</t>
        </is>
      </c>
    </row>
    <row r="2">
      <c r="A2" t="inlineStr">
        <is>
          <t>XRCC3expression</t>
        </is>
      </c>
      <c r="B2" t="inlineStr">
        <is>
          <t>R</t>
        </is>
      </c>
      <c r="C2" t="inlineStr">
        <is>
          <t>1</t>
        </is>
      </c>
      <c r="D2" t="inlineStr">
        <is>
          <t>-0.027</t>
        </is>
      </c>
      <c r="E2" t="inlineStr">
        <is>
          <t>-0.109</t>
        </is>
      </c>
      <c r="F2" t="inlineStr">
        <is>
          <t>0.002</t>
        </is>
      </c>
      <c r="G2" t="inlineStr">
        <is>
          <t>0.102</t>
        </is>
      </c>
      <c r="H2" t="inlineStr">
        <is>
          <t>0.142</t>
        </is>
      </c>
      <c r="I2" t="inlineStr">
        <is>
          <t>-0.026</t>
        </is>
      </c>
      <c r="J2" t="inlineStr">
        <is>
          <t>0.037</t>
        </is>
      </c>
    </row>
    <row r="3">
      <c r="A3" t="inlineStr"/>
      <c r="B3" t="inlineStr">
        <is>
          <t>P-value</t>
        </is>
      </c>
      <c r="C3" t="inlineStr"/>
      <c r="D3" t="inlineStr">
        <is>
          <t>0.585</t>
        </is>
      </c>
      <c r="E3" t="inlineStr">
        <is>
          <t>0.016</t>
        </is>
      </c>
      <c r="F3" t="inlineStr">
        <is>
          <t>0.970</t>
        </is>
      </c>
      <c r="G3" t="inlineStr">
        <is>
          <t>0.025</t>
        </is>
      </c>
      <c r="H3" t="inlineStr">
        <is>
          <t>0.002</t>
        </is>
      </c>
      <c r="I3" t="inlineStr">
        <is>
          <t>0.565</t>
        </is>
      </c>
      <c r="J3" t="inlineStr">
        <is>
          <t>0.411</t>
        </is>
      </c>
    </row>
    <row r="4">
      <c r="A4" t="inlineStr">
        <is>
          <t>number_pack_years_smoked</t>
        </is>
      </c>
      <c r="B4" t="inlineStr">
        <is>
          <t>R</t>
        </is>
      </c>
      <c r="C4" t="inlineStr">
        <is>
          <t>-0.027</t>
        </is>
      </c>
      <c r="D4" t="inlineStr">
        <is>
          <t>1</t>
        </is>
      </c>
      <c r="E4" t="inlineStr">
        <is>
          <t>0.045</t>
        </is>
      </c>
      <c r="F4" t="inlineStr">
        <is>
          <t>-0.012</t>
        </is>
      </c>
      <c r="G4" t="inlineStr">
        <is>
          <t>-0.021</t>
        </is>
      </c>
      <c r="H4" t="inlineStr">
        <is>
          <t>-0.040</t>
        </is>
      </c>
      <c r="I4" t="inlineStr">
        <is>
          <t>0.018</t>
        </is>
      </c>
      <c r="J4" t="inlineStr">
        <is>
          <t>0.001</t>
        </is>
      </c>
    </row>
    <row r="5">
      <c r="A5" t="inlineStr"/>
      <c r="B5" t="inlineStr">
        <is>
          <t>P-value</t>
        </is>
      </c>
      <c r="C5" t="inlineStr">
        <is>
          <t>0.585</t>
        </is>
      </c>
      <c r="D5" t="inlineStr"/>
      <c r="E5" t="inlineStr">
        <is>
          <t>0.359</t>
        </is>
      </c>
      <c r="F5" t="inlineStr">
        <is>
          <t>0.802</t>
        </is>
      </c>
      <c r="G5" t="inlineStr">
        <is>
          <t>0.675</t>
        </is>
      </c>
      <c r="H5" t="inlineStr">
        <is>
          <t>0.415</t>
        </is>
      </c>
      <c r="I5" t="inlineStr">
        <is>
          <t>0.717</t>
        </is>
      </c>
      <c r="J5" t="inlineStr">
        <is>
          <t>0.981</t>
        </is>
      </c>
    </row>
    <row r="6">
      <c r="A6" t="inlineStr">
        <is>
          <t>age</t>
        </is>
      </c>
      <c r="B6" t="inlineStr">
        <is>
          <t>R</t>
        </is>
      </c>
      <c r="C6" t="inlineStr">
        <is>
          <t>-0.109</t>
        </is>
      </c>
      <c r="D6" t="inlineStr">
        <is>
          <t>0.045</t>
        </is>
      </c>
      <c r="E6" t="inlineStr">
        <is>
          <t>1</t>
        </is>
      </c>
      <c r="F6" t="inlineStr">
        <is>
          <t>-0.045</t>
        </is>
      </c>
      <c r="G6" t="inlineStr">
        <is>
          <t>-0.012</t>
        </is>
      </c>
      <c r="H6" t="inlineStr">
        <is>
          <t>-0.116</t>
        </is>
      </c>
      <c r="I6" t="inlineStr">
        <is>
          <t>-0.025</t>
        </is>
      </c>
      <c r="J6" t="inlineStr">
        <is>
          <t>-0.012</t>
        </is>
      </c>
    </row>
    <row r="7">
      <c r="A7" t="inlineStr"/>
      <c r="B7" t="inlineStr">
        <is>
          <t>P-value</t>
        </is>
      </c>
      <c r="C7" t="inlineStr">
        <is>
          <t>0.016</t>
        </is>
      </c>
      <c r="D7" t="inlineStr">
        <is>
          <t>0.359</t>
        </is>
      </c>
      <c r="E7" t="inlineStr"/>
      <c r="F7" t="inlineStr">
        <is>
          <t>0.326</t>
        </is>
      </c>
      <c r="G7" t="inlineStr">
        <is>
          <t>0.788</t>
        </is>
      </c>
      <c r="H7" t="inlineStr">
        <is>
          <t>0.011</t>
        </is>
      </c>
      <c r="I7" t="inlineStr">
        <is>
          <t>0.584</t>
        </is>
      </c>
      <c r="J7" t="inlineStr">
        <is>
          <t>0.785</t>
        </is>
      </c>
    </row>
    <row r="8">
      <c r="A8" t="inlineStr">
        <is>
          <t>TP53Expression</t>
        </is>
      </c>
      <c r="B8" t="inlineStr">
        <is>
          <t>R</t>
        </is>
      </c>
      <c r="C8" t="inlineStr">
        <is>
          <t>0.002</t>
        </is>
      </c>
      <c r="D8" t="inlineStr">
        <is>
          <t>-0.012</t>
        </is>
      </c>
      <c r="E8" t="inlineStr">
        <is>
          <t>-0.045</t>
        </is>
      </c>
      <c r="F8" t="inlineStr">
        <is>
          <t>1</t>
        </is>
      </c>
      <c r="G8" t="inlineStr">
        <is>
          <t>-0.011</t>
        </is>
      </c>
      <c r="H8" t="inlineStr">
        <is>
          <t>0.058</t>
        </is>
      </c>
      <c r="I8" t="inlineStr">
        <is>
          <t>0.050</t>
        </is>
      </c>
      <c r="J8" t="inlineStr">
        <is>
          <t>0.196</t>
        </is>
      </c>
    </row>
    <row r="9">
      <c r="A9" t="inlineStr"/>
      <c r="B9" t="inlineStr">
        <is>
          <t>P-value</t>
        </is>
      </c>
      <c r="C9" t="inlineStr">
        <is>
          <t>0.970</t>
        </is>
      </c>
      <c r="D9" t="inlineStr">
        <is>
          <t>0.802</t>
        </is>
      </c>
      <c r="E9" t="inlineStr">
        <is>
          <t>0.326</t>
        </is>
      </c>
      <c r="F9" t="inlineStr"/>
      <c r="G9" t="inlineStr">
        <is>
          <t>0.810</t>
        </is>
      </c>
      <c r="H9" t="inlineStr">
        <is>
          <t>0.200</t>
        </is>
      </c>
      <c r="I9" t="inlineStr">
        <is>
          <t>0.273</t>
        </is>
      </c>
      <c r="J9" t="inlineStr">
        <is>
          <t>&lt;0.001</t>
        </is>
      </c>
    </row>
    <row r="10">
      <c r="A10" t="inlineStr">
        <is>
          <t>CDKN2AExpression</t>
        </is>
      </c>
      <c r="B10" t="inlineStr">
        <is>
          <t>R</t>
        </is>
      </c>
      <c r="C10" t="inlineStr">
        <is>
          <t>0.102</t>
        </is>
      </c>
      <c r="D10" t="inlineStr">
        <is>
          <t>-0.021</t>
        </is>
      </c>
      <c r="E10" t="inlineStr">
        <is>
          <t>-0.012</t>
        </is>
      </c>
      <c r="F10" t="inlineStr">
        <is>
          <t>-0.011</t>
        </is>
      </c>
      <c r="G10" t="inlineStr">
        <is>
          <t>1</t>
        </is>
      </c>
      <c r="H10" t="inlineStr">
        <is>
          <t>-0.004</t>
        </is>
      </c>
      <c r="I10" t="inlineStr">
        <is>
          <t>-0.014</t>
        </is>
      </c>
      <c r="J10" t="inlineStr">
        <is>
          <t>-0.074</t>
        </is>
      </c>
    </row>
    <row r="11">
      <c r="A11" t="inlineStr"/>
      <c r="B11" t="inlineStr">
        <is>
          <t>P-value</t>
        </is>
      </c>
      <c r="C11" t="inlineStr">
        <is>
          <t>0.025</t>
        </is>
      </c>
      <c r="D11" t="inlineStr">
        <is>
          <t>0.675</t>
        </is>
      </c>
      <c r="E11" t="inlineStr">
        <is>
          <t>0.788</t>
        </is>
      </c>
      <c r="F11" t="inlineStr">
        <is>
          <t>0.810</t>
        </is>
      </c>
      <c r="G11" t="inlineStr"/>
      <c r="H11" t="inlineStr">
        <is>
          <t>0.929</t>
        </is>
      </c>
      <c r="I11" t="inlineStr">
        <is>
          <t>0.761</t>
        </is>
      </c>
      <c r="J11" t="inlineStr">
        <is>
          <t>0.104</t>
        </is>
      </c>
    </row>
    <row r="12">
      <c r="A12" t="inlineStr">
        <is>
          <t>SOX2Expression</t>
        </is>
      </c>
      <c r="B12" t="inlineStr">
        <is>
          <t>R</t>
        </is>
      </c>
      <c r="C12" t="inlineStr">
        <is>
          <t>0.142</t>
        </is>
      </c>
      <c r="D12" t="inlineStr">
        <is>
          <t>-0.040</t>
        </is>
      </c>
      <c r="E12" t="inlineStr">
        <is>
          <t>-0.116</t>
        </is>
      </c>
      <c r="F12" t="inlineStr">
        <is>
          <t>0.058</t>
        </is>
      </c>
      <c r="G12" t="inlineStr">
        <is>
          <t>-0.004</t>
        </is>
      </c>
      <c r="H12" t="inlineStr">
        <is>
          <t>1</t>
        </is>
      </c>
      <c r="I12" t="inlineStr">
        <is>
          <t>0.528</t>
        </is>
      </c>
      <c r="J12" t="inlineStr">
        <is>
          <t>0.004</t>
        </is>
      </c>
    </row>
    <row r="13">
      <c r="A13" t="inlineStr"/>
      <c r="B13" t="inlineStr">
        <is>
          <t>P-value</t>
        </is>
      </c>
      <c r="C13" t="inlineStr">
        <is>
          <t>0.002</t>
        </is>
      </c>
      <c r="D13" t="inlineStr">
        <is>
          <t>0.415</t>
        </is>
      </c>
      <c r="E13" t="inlineStr">
        <is>
          <t>0.011</t>
        </is>
      </c>
      <c r="F13" t="inlineStr">
        <is>
          <t>0.200</t>
        </is>
      </c>
      <c r="G13" t="inlineStr">
        <is>
          <t>0.929</t>
        </is>
      </c>
      <c r="H13" t="inlineStr"/>
      <c r="I13" t="inlineStr">
        <is>
          <t>&lt;0.001</t>
        </is>
      </c>
      <c r="J13" t="inlineStr">
        <is>
          <t>0.933</t>
        </is>
      </c>
    </row>
    <row r="14">
      <c r="A14" t="inlineStr">
        <is>
          <t>PIK3CAExpression</t>
        </is>
      </c>
      <c r="B14" t="inlineStr">
        <is>
          <t>R</t>
        </is>
      </c>
      <c r="C14" t="inlineStr">
        <is>
          <t>-0.026</t>
        </is>
      </c>
      <c r="D14" t="inlineStr">
        <is>
          <t>0.018</t>
        </is>
      </c>
      <c r="E14" t="inlineStr">
        <is>
          <t>-0.025</t>
        </is>
      </c>
      <c r="F14" t="inlineStr">
        <is>
          <t>0.050</t>
        </is>
      </c>
      <c r="G14" t="inlineStr">
        <is>
          <t>-0.014</t>
        </is>
      </c>
      <c r="H14" t="inlineStr">
        <is>
          <t>0.528</t>
        </is>
      </c>
      <c r="I14" t="inlineStr">
        <is>
          <t>1</t>
        </is>
      </c>
      <c r="J14" t="inlineStr">
        <is>
          <t>-0.032</t>
        </is>
      </c>
    </row>
    <row r="15">
      <c r="A15" t="inlineStr"/>
      <c r="B15" t="inlineStr">
        <is>
          <t>P-value</t>
        </is>
      </c>
      <c r="C15" t="inlineStr">
        <is>
          <t>0.565</t>
        </is>
      </c>
      <c r="D15" t="inlineStr">
        <is>
          <t>0.717</t>
        </is>
      </c>
      <c r="E15" t="inlineStr">
        <is>
          <t>0.584</t>
        </is>
      </c>
      <c r="F15" t="inlineStr">
        <is>
          <t>0.273</t>
        </is>
      </c>
      <c r="G15" t="inlineStr">
        <is>
          <t>0.761</t>
        </is>
      </c>
      <c r="H15" t="inlineStr">
        <is>
          <t>&lt;0.001</t>
        </is>
      </c>
      <c r="I15" t="inlineStr"/>
      <c r="J15" t="inlineStr">
        <is>
          <t>0.482</t>
        </is>
      </c>
    </row>
    <row r="16">
      <c r="A16" t="inlineStr">
        <is>
          <t>NOTCH1Expression</t>
        </is>
      </c>
      <c r="B16" t="inlineStr">
        <is>
          <t>R</t>
        </is>
      </c>
      <c r="C16" t="inlineStr">
        <is>
          <t>0.037</t>
        </is>
      </c>
      <c r="D16" t="inlineStr">
        <is>
          <t>0.001</t>
        </is>
      </c>
      <c r="E16" t="inlineStr">
        <is>
          <t>-0.012</t>
        </is>
      </c>
      <c r="F16" t="inlineStr">
        <is>
          <t>0.196</t>
        </is>
      </c>
      <c r="G16" t="inlineStr">
        <is>
          <t>-0.074</t>
        </is>
      </c>
      <c r="H16" t="inlineStr">
        <is>
          <t>0.004</t>
        </is>
      </c>
      <c r="I16" t="inlineStr">
        <is>
          <t>-0.032</t>
        </is>
      </c>
      <c r="J16" t="inlineStr">
        <is>
          <t>1</t>
        </is>
      </c>
    </row>
    <row r="17">
      <c r="A17" t="inlineStr"/>
      <c r="B17" t="inlineStr">
        <is>
          <t>P-value</t>
        </is>
      </c>
      <c r="C17" t="inlineStr">
        <is>
          <t>0.411</t>
        </is>
      </c>
      <c r="D17" t="inlineStr">
        <is>
          <t>0.981</t>
        </is>
      </c>
      <c r="E17" t="inlineStr">
        <is>
          <t>0.785</t>
        </is>
      </c>
      <c r="F17" t="inlineStr">
        <is>
          <t>&lt;0.001</t>
        </is>
      </c>
      <c r="G17" t="inlineStr">
        <is>
          <t>0.104</t>
        </is>
      </c>
      <c r="H17" t="inlineStr">
        <is>
          <t>0.933</t>
        </is>
      </c>
      <c r="I17" t="inlineStr">
        <is>
          <t>0.482</t>
        </is>
      </c>
      <c r="J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Clinical Variable</t>
        </is>
      </c>
      <c r="B1" s="1" t="inlineStr">
        <is>
          <t>Hazard Ratio (HR)</t>
        </is>
      </c>
      <c r="C1" s="1" t="inlineStr">
        <is>
          <t>95% CI Lower</t>
        </is>
      </c>
      <c r="D1" s="1" t="inlineStr">
        <is>
          <t>95% CI Upper</t>
        </is>
      </c>
      <c r="E1" s="1" t="inlineStr">
        <is>
          <t>P-value</t>
        </is>
      </c>
    </row>
    <row r="2">
      <c r="A2" t="inlineStr">
        <is>
          <t>age</t>
        </is>
      </c>
      <c r="B2" t="n">
        <v>1.021</v>
      </c>
      <c r="C2" t="n">
        <v>1.002</v>
      </c>
      <c r="D2" t="n">
        <v>1.041</v>
      </c>
      <c r="E2" t="inlineStr">
        <is>
          <t>0.027</t>
        </is>
      </c>
    </row>
    <row r="3">
      <c r="A3" t="inlineStr">
        <is>
          <t>number_pack_years_smoked</t>
        </is>
      </c>
      <c r="B3" t="n">
        <v>1</v>
      </c>
      <c r="C3" t="n">
        <v>0.996</v>
      </c>
      <c r="D3" t="n">
        <v>1.005</v>
      </c>
      <c r="E3" t="inlineStr">
        <is>
          <t>0.940</t>
        </is>
      </c>
    </row>
    <row r="4">
      <c r="A4" t="inlineStr">
        <is>
          <t>XRCC3group_Low</t>
        </is>
      </c>
      <c r="B4" t="n">
        <v>1.287</v>
      </c>
      <c r="C4" t="n">
        <v>0.954</v>
      </c>
      <c r="D4" t="n">
        <v>1.738</v>
      </c>
      <c r="E4" t="inlineStr">
        <is>
          <t>0.099</t>
        </is>
      </c>
    </row>
    <row r="5">
      <c r="A5" t="inlineStr">
        <is>
          <t>gender_MALE</t>
        </is>
      </c>
      <c r="B5" t="n">
        <v>1.25</v>
      </c>
      <c r="C5" t="n">
        <v>0.881</v>
      </c>
      <c r="D5" t="n">
        <v>1.774</v>
      </c>
      <c r="E5" t="inlineStr">
        <is>
          <t>0.212</t>
        </is>
      </c>
    </row>
    <row r="6">
      <c r="A6" t="inlineStr">
        <is>
          <t>pathologic_stage_2.0</t>
        </is>
      </c>
      <c r="B6" t="n">
        <v>1.037</v>
      </c>
      <c r="C6" t="n">
        <v>0.732</v>
      </c>
      <c r="D6" t="n">
        <v>1.469</v>
      </c>
      <c r="E6" t="inlineStr">
        <is>
          <t>0.839</t>
        </is>
      </c>
    </row>
    <row r="7">
      <c r="A7" t="inlineStr">
        <is>
          <t>pathologic_stage_3.0</t>
        </is>
      </c>
      <c r="B7" t="n">
        <v>1.411</v>
      </c>
      <c r="C7" t="n">
        <v>0.947</v>
      </c>
      <c r="D7" t="n">
        <v>2.102</v>
      </c>
      <c r="E7" t="inlineStr">
        <is>
          <t>0.091</t>
        </is>
      </c>
    </row>
    <row r="8">
      <c r="A8" t="inlineStr">
        <is>
          <t>pathologic_stage_4.0</t>
        </is>
      </c>
      <c r="B8" t="n">
        <v>2.942</v>
      </c>
      <c r="C8" t="n">
        <v>1.172</v>
      </c>
      <c r="D8" t="n">
        <v>7.383</v>
      </c>
      <c r="E8" t="inlineStr">
        <is>
          <t>0.022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Clinical Variable</t>
        </is>
      </c>
      <c r="B1" s="1" t="inlineStr">
        <is>
          <t>Hazard Ratio (HR)</t>
        </is>
      </c>
      <c r="C1" s="1" t="inlineStr">
        <is>
          <t>95% CI Lower</t>
        </is>
      </c>
      <c r="D1" s="1" t="inlineStr">
        <is>
          <t>95% CI Upper</t>
        </is>
      </c>
      <c r="E1" s="1" t="inlineStr">
        <is>
          <t>P-value</t>
        </is>
      </c>
    </row>
    <row r="2">
      <c r="A2" t="inlineStr">
        <is>
          <t>age</t>
        </is>
      </c>
      <c r="B2" t="n">
        <v>1.022</v>
      </c>
      <c r="C2" t="n">
        <v>1.003</v>
      </c>
      <c r="D2" t="n">
        <v>1.041</v>
      </c>
      <c r="E2" t="inlineStr">
        <is>
          <t>0.021</t>
        </is>
      </c>
    </row>
    <row r="3">
      <c r="A3" t="inlineStr">
        <is>
          <t>number_pack_years_smoked</t>
        </is>
      </c>
      <c r="B3" t="n">
        <v>1</v>
      </c>
      <c r="C3" t="n">
        <v>0.995</v>
      </c>
      <c r="D3" t="n">
        <v>1.005</v>
      </c>
      <c r="E3" t="inlineStr">
        <is>
          <t>0.996</t>
        </is>
      </c>
    </row>
    <row r="4">
      <c r="A4" t="inlineStr">
        <is>
          <t>pathologic_stage</t>
        </is>
      </c>
      <c r="B4" t="n">
        <v>1.219</v>
      </c>
      <c r="C4" t="n">
        <v>1.018</v>
      </c>
      <c r="D4" t="n">
        <v>1.46</v>
      </c>
      <c r="E4" t="inlineStr">
        <is>
          <t>0.031</t>
        </is>
      </c>
    </row>
    <row r="5">
      <c r="A5" t="inlineStr">
        <is>
          <t>XRCC3group_Low</t>
        </is>
      </c>
      <c r="B5" t="n">
        <v>1.31</v>
      </c>
      <c r="C5" t="n">
        <v>0.973</v>
      </c>
      <c r="D5" t="n">
        <v>1.764</v>
      </c>
      <c r="E5" t="inlineStr">
        <is>
          <t>0.075</t>
        </is>
      </c>
    </row>
    <row r="6">
      <c r="A6" t="inlineStr">
        <is>
          <t>gender_MALE</t>
        </is>
      </c>
      <c r="B6" t="n">
        <v>1.259</v>
      </c>
      <c r="C6" t="n">
        <v>0.89</v>
      </c>
      <c r="D6" t="n">
        <v>1.781</v>
      </c>
      <c r="E6" t="inlineStr">
        <is>
          <t>0.192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95% CI Lower</t>
        </is>
      </c>
      <c r="D1" s="1" t="inlineStr">
        <is>
          <t>95% CI Upper</t>
        </is>
      </c>
      <c r="E1" s="1" t="inlineStr">
        <is>
          <t>P-value</t>
        </is>
      </c>
    </row>
    <row r="2">
      <c r="A2">
        <f>== [ Model: Base Model (No Stage) ] ===</f>
        <v/>
      </c>
      <c r="B2" t="inlineStr"/>
      <c r="C2" t="inlineStr"/>
      <c r="D2" t="inlineStr"/>
      <c r="E2" t="inlineStr"/>
    </row>
    <row r="3">
      <c r="A3" t="inlineStr">
        <is>
          <t>Dependent Variable (Y)</t>
        </is>
      </c>
      <c r="B3" t="inlineStr">
        <is>
          <t>XRCC3expression</t>
        </is>
      </c>
      <c r="C3" t="inlineStr"/>
      <c r="D3" t="inlineStr"/>
      <c r="E3" t="inlineStr"/>
    </row>
    <row r="4">
      <c r="A4" t="inlineStr">
        <is>
          <t>Model Formula</t>
        </is>
      </c>
      <c r="B4" t="inlineStr">
        <is>
          <t>XRCC3expression ~ age + number_pack_years_smoked + C(gender)</t>
        </is>
      </c>
      <c r="C4" t="inlineStr"/>
      <c r="D4" t="inlineStr"/>
      <c r="E4" t="inlineStr"/>
    </row>
    <row r="5">
      <c r="A5" t="inlineStr">
        <is>
          <t>R-squared</t>
        </is>
      </c>
      <c r="B5" t="inlineStr">
        <is>
          <t>0.0278</t>
        </is>
      </c>
      <c r="C5" t="inlineStr"/>
      <c r="D5" t="inlineStr"/>
      <c r="E5" t="inlineStr"/>
    </row>
    <row r="6">
      <c r="A6" t="inlineStr">
        <is>
          <t>Prob (F-statistic)</t>
        </is>
      </c>
      <c r="B6" t="inlineStr">
        <is>
          <t>9.2105e-03</t>
        </is>
      </c>
      <c r="C6" t="inlineStr"/>
      <c r="D6" t="inlineStr"/>
      <c r="E6" t="inlineStr"/>
    </row>
    <row r="7">
      <c r="A7" t="inlineStr">
        <is>
          <t>--- [ Coefficients ] ---</t>
        </is>
      </c>
      <c r="B7" t="inlineStr"/>
      <c r="C7" t="inlineStr"/>
      <c r="D7" t="inlineStr"/>
      <c r="E7" t="inlineStr"/>
    </row>
    <row r="8">
      <c r="A8" t="inlineStr">
        <is>
          <t>Intercept</t>
        </is>
      </c>
      <c r="B8" t="n">
        <v>891.1136</v>
      </c>
      <c r="C8" t="n">
        <v>596.1462</v>
      </c>
      <c r="D8" t="n">
        <v>1186.081</v>
      </c>
      <c r="E8" t="inlineStr">
        <is>
          <t>&lt;0.001</t>
        </is>
      </c>
    </row>
    <row r="9">
      <c r="A9" t="inlineStr">
        <is>
          <t>C(gender)[T.MALE]</t>
        </is>
      </c>
      <c r="B9" t="n">
        <v>91.24550000000001</v>
      </c>
      <c r="C9" t="n">
        <v>11.8179</v>
      </c>
      <c r="D9" t="n">
        <v>170.6732</v>
      </c>
      <c r="E9" t="inlineStr">
        <is>
          <t>0.024</t>
        </is>
      </c>
    </row>
    <row r="10">
      <c r="A10" t="inlineStr">
        <is>
          <t>age</t>
        </is>
      </c>
      <c r="B10" t="n">
        <v>-5.2818</v>
      </c>
      <c r="C10" t="n">
        <v>-9.503</v>
      </c>
      <c r="D10" t="n">
        <v>-1.0606</v>
      </c>
      <c r="E10" t="inlineStr">
        <is>
          <t>0.014</t>
        </is>
      </c>
    </row>
    <row r="11">
      <c r="A11" t="inlineStr">
        <is>
          <t>number_pack_years_smoked</t>
        </is>
      </c>
      <c r="B11" t="n">
        <v>-0.4145</v>
      </c>
      <c r="C11" t="n">
        <v>-1.5327</v>
      </c>
      <c r="D11" t="n">
        <v>0.7036</v>
      </c>
      <c r="E11" t="inlineStr">
        <is>
          <t>0.467</t>
        </is>
      </c>
    </row>
    <row r="12">
      <c r="A12" t="inlineStr"/>
      <c r="B12" t="inlineStr"/>
      <c r="C12" t="inlineStr"/>
      <c r="D12" t="inlineStr"/>
      <c r="E12" t="inlineStr"/>
    </row>
    <row r="13">
      <c r="A13">
        <f>== [ Model: Base + Pathologic Stage ] ===</f>
        <v/>
      </c>
      <c r="B13" t="inlineStr"/>
      <c r="C13" t="inlineStr"/>
      <c r="D13" t="inlineStr"/>
      <c r="E13" t="inlineStr"/>
    </row>
    <row r="14">
      <c r="A14" t="inlineStr">
        <is>
          <t>Dependent Variable (Y)</t>
        </is>
      </c>
      <c r="B14" t="inlineStr">
        <is>
          <t>XRCC3expression</t>
        </is>
      </c>
      <c r="C14" t="inlineStr"/>
      <c r="D14" t="inlineStr"/>
      <c r="E14" t="inlineStr"/>
    </row>
    <row r="15">
      <c r="A15" t="inlineStr">
        <is>
          <t>Model Formula</t>
        </is>
      </c>
      <c r="B15" t="inlineStr">
        <is>
          <t>XRCC3expression ~ age + number_pack_years_smoked + C(gender) + C(pathologic_stage)</t>
        </is>
      </c>
      <c r="C15" t="inlineStr"/>
      <c r="D15" t="inlineStr"/>
      <c r="E15" t="inlineStr"/>
    </row>
    <row r="16">
      <c r="A16" t="inlineStr">
        <is>
          <t>R-squared</t>
        </is>
      </c>
      <c r="B16" t="inlineStr">
        <is>
          <t>0.0349</t>
        </is>
      </c>
      <c r="C16" t="inlineStr"/>
      <c r="D16" t="inlineStr"/>
      <c r="E16" t="inlineStr"/>
    </row>
    <row r="17">
      <c r="A17" t="inlineStr">
        <is>
          <t>Prob (F-statistic)</t>
        </is>
      </c>
      <c r="B17" t="inlineStr">
        <is>
          <t>2.5843e-02</t>
        </is>
      </c>
      <c r="C17" t="inlineStr"/>
      <c r="D17" t="inlineStr"/>
      <c r="E17" t="inlineStr"/>
    </row>
    <row r="18">
      <c r="A18" t="inlineStr">
        <is>
          <t>--- [ Coefficients ] ---</t>
        </is>
      </c>
      <c r="B18" t="inlineStr"/>
      <c r="C18" t="inlineStr"/>
      <c r="D18" t="inlineStr"/>
      <c r="E18" t="inlineStr"/>
    </row>
    <row r="19">
      <c r="A19" t="inlineStr">
        <is>
          <t>Intercept</t>
        </is>
      </c>
      <c r="B19" t="n">
        <v>847.3088</v>
      </c>
      <c r="C19" t="n">
        <v>543.1007</v>
      </c>
      <c r="D19" t="n">
        <v>1151.5169</v>
      </c>
      <c r="E19" t="inlineStr">
        <is>
          <t>&lt;0.001</t>
        </is>
      </c>
    </row>
    <row r="20">
      <c r="A20" t="inlineStr">
        <is>
          <t>C(gender)[T.MALE]</t>
        </is>
      </c>
      <c r="B20" t="n">
        <v>92.3857</v>
      </c>
      <c r="C20" t="n">
        <v>12.2633</v>
      </c>
      <c r="D20" t="n">
        <v>172.508</v>
      </c>
      <c r="E20" t="inlineStr">
        <is>
          <t>0.024</t>
        </is>
      </c>
    </row>
    <row r="21">
      <c r="A21" t="inlineStr">
        <is>
          <t>C(pathologic_stage)[T.2.0]</t>
        </is>
      </c>
      <c r="B21" t="n">
        <v>37.7938</v>
      </c>
      <c r="C21" t="n">
        <v>-41.6969</v>
      </c>
      <c r="D21" t="n">
        <v>117.2846</v>
      </c>
      <c r="E21" t="inlineStr">
        <is>
          <t>0.351</t>
        </is>
      </c>
    </row>
    <row r="22">
      <c r="A22" t="inlineStr">
        <is>
          <t>C(pathologic_stage)[T.3.0]</t>
        </is>
      </c>
      <c r="B22" t="n">
        <v>70.2186</v>
      </c>
      <c r="C22" t="n">
        <v>-29.0241</v>
      </c>
      <c r="D22" t="n">
        <v>169.4614</v>
      </c>
      <c r="E22" t="inlineStr">
        <is>
          <t>0.165</t>
        </is>
      </c>
    </row>
    <row r="23">
      <c r="A23" t="inlineStr">
        <is>
          <t>C(pathologic_stage)[T.4.0]</t>
        </is>
      </c>
      <c r="B23" t="n">
        <v>-84.5162</v>
      </c>
      <c r="C23" t="n">
        <v>-378.0097</v>
      </c>
      <c r="D23" t="n">
        <v>208.9772</v>
      </c>
      <c r="E23" t="inlineStr">
        <is>
          <t>0.572</t>
        </is>
      </c>
    </row>
    <row r="24">
      <c r="A24" t="inlineStr">
        <is>
          <t>age</t>
        </is>
      </c>
      <c r="B24" t="n">
        <v>-4.9509</v>
      </c>
      <c r="C24" t="n">
        <v>-9.2342</v>
      </c>
      <c r="D24" t="n">
        <v>-0.6676</v>
      </c>
      <c r="E24" t="inlineStr">
        <is>
          <t>0.024</t>
        </is>
      </c>
    </row>
    <row r="25">
      <c r="A25" t="inlineStr">
        <is>
          <t>number_pack_years_smoked</t>
        </is>
      </c>
      <c r="B25" t="n">
        <v>-0.4451</v>
      </c>
      <c r="C25" t="n">
        <v>-1.5705</v>
      </c>
      <c r="D25" t="n">
        <v>0.6802</v>
      </c>
      <c r="E25" t="inlineStr">
        <is>
          <t>0.437</t>
        </is>
      </c>
    </row>
    <row r="26">
      <c r="A26" t="inlineStr"/>
      <c r="B26" t="inlineStr"/>
      <c r="C26" t="inlineStr"/>
      <c r="D26" t="inlineStr"/>
      <c r="E26" t="inlineStr"/>
    </row>
    <row r="27">
      <c r="A27">
        <f>== [ Model: Base + Pathologic T ] ===</f>
        <v/>
      </c>
      <c r="B27" t="inlineStr"/>
      <c r="C27" t="inlineStr"/>
      <c r="D27" t="inlineStr"/>
      <c r="E27" t="inlineStr"/>
    </row>
    <row r="28">
      <c r="A28" t="inlineStr">
        <is>
          <t>Dependent Variable (Y)</t>
        </is>
      </c>
      <c r="B28" t="inlineStr">
        <is>
          <t>XRCC3expression</t>
        </is>
      </c>
      <c r="C28" t="inlineStr"/>
      <c r="D28" t="inlineStr"/>
      <c r="E28" t="inlineStr"/>
    </row>
    <row r="29">
      <c r="A29" t="inlineStr">
        <is>
          <t>Model Formula</t>
        </is>
      </c>
      <c r="B29" t="inlineStr">
        <is>
          <t>XRCC3expression ~ age + number_pack_years_smoked + C(gender) + C(pathologic_T)</t>
        </is>
      </c>
      <c r="C29" t="inlineStr"/>
      <c r="D29" t="inlineStr"/>
      <c r="E29" t="inlineStr"/>
    </row>
    <row r="30">
      <c r="A30" t="inlineStr">
        <is>
          <t>R-squared</t>
        </is>
      </c>
      <c r="B30" t="inlineStr">
        <is>
          <t>0.0334</t>
        </is>
      </c>
      <c r="C30" t="inlineStr"/>
      <c r="D30" t="inlineStr"/>
      <c r="E30" t="inlineStr"/>
    </row>
    <row r="31">
      <c r="A31" t="inlineStr">
        <is>
          <t>Prob (F-statistic)</t>
        </is>
      </c>
      <c r="B31" t="inlineStr">
        <is>
          <t>3.1411e-02</t>
        </is>
      </c>
      <c r="C31" t="inlineStr"/>
      <c r="D31" t="inlineStr"/>
      <c r="E31" t="inlineStr"/>
    </row>
    <row r="32">
      <c r="A32" t="inlineStr">
        <is>
          <t>--- [ Coefficients ] ---</t>
        </is>
      </c>
      <c r="B32" t="inlineStr"/>
      <c r="C32" t="inlineStr"/>
      <c r="D32" t="inlineStr"/>
      <c r="E32" t="inlineStr"/>
    </row>
    <row r="33">
      <c r="A33" t="inlineStr">
        <is>
          <t>Intercept</t>
        </is>
      </c>
      <c r="B33" t="n">
        <v>857.9524</v>
      </c>
      <c r="C33" t="n">
        <v>556.5856</v>
      </c>
      <c r="D33" t="n">
        <v>1159.3192</v>
      </c>
      <c r="E33" t="inlineStr">
        <is>
          <t>&lt;0.001</t>
        </is>
      </c>
    </row>
    <row r="34">
      <c r="A34" t="inlineStr">
        <is>
          <t>C(gender)[T.MALE]</t>
        </is>
      </c>
      <c r="B34" t="n">
        <v>93.1567</v>
      </c>
      <c r="C34" t="n">
        <v>12.5844</v>
      </c>
      <c r="D34" t="n">
        <v>173.7291</v>
      </c>
      <c r="E34" t="inlineStr">
        <is>
          <t>0.024</t>
        </is>
      </c>
    </row>
    <row r="35">
      <c r="A35" t="inlineStr">
        <is>
          <t>C(pathologic_T)[T.2.0]</t>
        </is>
      </c>
      <c r="B35" t="n">
        <v>10.7209</v>
      </c>
      <c r="C35" t="n">
        <v>-75.8443</v>
      </c>
      <c r="D35" t="n">
        <v>97.2861</v>
      </c>
      <c r="E35" t="inlineStr">
        <is>
          <t>0.808</t>
        </is>
      </c>
    </row>
    <row r="36">
      <c r="A36" t="inlineStr">
        <is>
          <t>C(pathologic_T)[T.3.0]</t>
        </is>
      </c>
      <c r="B36" t="n">
        <v>74.2885</v>
      </c>
      <c r="C36" t="n">
        <v>-47.1227</v>
      </c>
      <c r="D36" t="n">
        <v>195.6997</v>
      </c>
      <c r="E36" t="inlineStr">
        <is>
          <t>0.230</t>
        </is>
      </c>
    </row>
    <row r="37">
      <c r="A37" t="inlineStr">
        <is>
          <t>C(pathologic_T)[T.4.0]</t>
        </is>
      </c>
      <c r="B37" t="n">
        <v>-59.6083</v>
      </c>
      <c r="C37" t="n">
        <v>-246.2184</v>
      </c>
      <c r="D37" t="n">
        <v>127.0018</v>
      </c>
      <c r="E37" t="inlineStr">
        <is>
          <t>0.530</t>
        </is>
      </c>
    </row>
    <row r="38">
      <c r="A38" t="inlineStr">
        <is>
          <t>age</t>
        </is>
      </c>
      <c r="B38" t="n">
        <v>-5.0534</v>
      </c>
      <c r="C38" t="n">
        <v>-9.2911</v>
      </c>
      <c r="D38" t="n">
        <v>-0.8157</v>
      </c>
      <c r="E38" t="inlineStr">
        <is>
          <t>0.020</t>
        </is>
      </c>
    </row>
    <row r="39">
      <c r="A39" t="inlineStr">
        <is>
          <t>number_pack_years_smoked</t>
        </is>
      </c>
      <c r="B39" t="n">
        <v>-0.3616</v>
      </c>
      <c r="C39" t="n">
        <v>-1.483</v>
      </c>
      <c r="D39" t="n">
        <v>0.7599</v>
      </c>
      <c r="E39" t="inlineStr">
        <is>
          <t>0.527</t>
        </is>
      </c>
    </row>
    <row r="40">
      <c r="A40" t="inlineStr"/>
      <c r="B40" t="inlineStr"/>
      <c r="C40" t="inlineStr"/>
      <c r="D40" t="inlineStr"/>
      <c r="E40" t="inlineStr"/>
    </row>
    <row r="41">
      <c r="A41">
        <f>== [ Model: Base + Pathologic N ] ===</f>
        <v/>
      </c>
      <c r="B41" t="inlineStr"/>
      <c r="C41" t="inlineStr"/>
      <c r="D41" t="inlineStr"/>
      <c r="E41" t="inlineStr"/>
    </row>
    <row r="42">
      <c r="A42" t="inlineStr">
        <is>
          <t>Dependent Variable (Y)</t>
        </is>
      </c>
      <c r="B42" t="inlineStr">
        <is>
          <t>XRCC3expression</t>
        </is>
      </c>
      <c r="C42" t="inlineStr"/>
      <c r="D42" t="inlineStr"/>
      <c r="E42" t="inlineStr"/>
    </row>
    <row r="43">
      <c r="A43" t="inlineStr">
        <is>
          <t>Model Formula</t>
        </is>
      </c>
      <c r="B43" t="inlineStr">
        <is>
          <t>XRCC3expression ~ age + number_pack_years_smoked + C(gender) + C(pathologic_N)</t>
        </is>
      </c>
      <c r="C43" t="inlineStr"/>
      <c r="D43" t="inlineStr"/>
      <c r="E43" t="inlineStr"/>
    </row>
    <row r="44">
      <c r="A44" t="inlineStr">
        <is>
          <t>R-squared</t>
        </is>
      </c>
      <c r="B44" t="inlineStr">
        <is>
          <t>0.0363</t>
        </is>
      </c>
      <c r="C44" t="inlineStr"/>
      <c r="D44" t="inlineStr"/>
      <c r="E44" t="inlineStr"/>
    </row>
    <row r="45">
      <c r="A45" t="inlineStr">
        <is>
          <t>Prob (F-statistic)</t>
        </is>
      </c>
      <c r="B45" t="inlineStr">
        <is>
          <t>2.1411e-02</t>
        </is>
      </c>
      <c r="C45" t="inlineStr"/>
      <c r="D45" t="inlineStr"/>
      <c r="E45" t="inlineStr"/>
    </row>
    <row r="46">
      <c r="A46" t="inlineStr">
        <is>
          <t>--- [ Coefficients ] ---</t>
        </is>
      </c>
      <c r="B46" t="inlineStr"/>
      <c r="C46" t="inlineStr"/>
      <c r="D46" t="inlineStr"/>
      <c r="E46" t="inlineStr"/>
    </row>
    <row r="47">
      <c r="A47" t="inlineStr">
        <is>
          <t>Intercept</t>
        </is>
      </c>
      <c r="B47" t="n">
        <v>837.4939000000001</v>
      </c>
      <c r="C47" t="n">
        <v>530.8721</v>
      </c>
      <c r="D47" t="n">
        <v>1144.1157</v>
      </c>
      <c r="E47" t="inlineStr">
        <is>
          <t>&lt;0.001</t>
        </is>
      </c>
    </row>
    <row r="48">
      <c r="A48" t="inlineStr">
        <is>
          <t>C(gender)[T.MALE]</t>
        </is>
      </c>
      <c r="B48" t="n">
        <v>92.765</v>
      </c>
      <c r="C48" t="n">
        <v>12.8455</v>
      </c>
      <c r="D48" t="n">
        <v>172.6845</v>
      </c>
      <c r="E48" t="inlineStr">
        <is>
          <t>0.023</t>
        </is>
      </c>
    </row>
    <row r="49">
      <c r="A49" t="inlineStr">
        <is>
          <t>C(pathologic_N)[T.1.0]</t>
        </is>
      </c>
      <c r="B49" t="n">
        <v>52.4082</v>
      </c>
      <c r="C49" t="n">
        <v>-28.8389</v>
      </c>
      <c r="D49" t="n">
        <v>133.6552</v>
      </c>
      <c r="E49" t="inlineStr">
        <is>
          <t>0.205</t>
        </is>
      </c>
    </row>
    <row r="50">
      <c r="A50" t="inlineStr">
        <is>
          <t>C(pathologic_N)[T.2.0]</t>
        </is>
      </c>
      <c r="B50" t="n">
        <v>89.8909</v>
      </c>
      <c r="C50" t="n">
        <v>-41.4747</v>
      </c>
      <c r="D50" t="n">
        <v>221.2566</v>
      </c>
      <c r="E50" t="inlineStr">
        <is>
          <t>0.179</t>
        </is>
      </c>
    </row>
    <row r="51">
      <c r="A51" t="inlineStr">
        <is>
          <t>C(pathologic_N)[T.3.0]</t>
        </is>
      </c>
      <c r="B51" t="n">
        <v>-102.5887</v>
      </c>
      <c r="C51" t="n">
        <v>-421.4204</v>
      </c>
      <c r="D51" t="n">
        <v>216.2431</v>
      </c>
      <c r="E51" t="inlineStr">
        <is>
          <t>0.527</t>
        </is>
      </c>
    </row>
    <row r="52">
      <c r="A52" t="inlineStr">
        <is>
          <t>age</t>
        </is>
      </c>
      <c r="B52" t="n">
        <v>-4.7684</v>
      </c>
      <c r="C52" t="n">
        <v>-9.1067</v>
      </c>
      <c r="D52" t="n">
        <v>-0.4301</v>
      </c>
      <c r="E52" t="inlineStr">
        <is>
          <t>0.031</t>
        </is>
      </c>
    </row>
    <row r="53">
      <c r="A53" t="inlineStr">
        <is>
          <t>number_pack_years_smoked</t>
        </is>
      </c>
      <c r="B53" t="n">
        <v>-0.4392</v>
      </c>
      <c r="C53" t="n">
        <v>-1.5649</v>
      </c>
      <c r="D53" t="n">
        <v>0.6866</v>
      </c>
      <c r="E53" t="inlineStr">
        <is>
          <t>0.444</t>
        </is>
      </c>
    </row>
    <row r="54">
      <c r="A54" t="inlineStr"/>
      <c r="B54" t="inlineStr"/>
      <c r="C54" t="inlineStr"/>
      <c r="D54" t="inlineStr"/>
      <c r="E54" t="inlineStr"/>
    </row>
    <row r="55">
      <c r="A55">
        <f>== [ Model: Base + Pathologic M ] ===</f>
        <v/>
      </c>
      <c r="B55" t="inlineStr"/>
      <c r="C55" t="inlineStr"/>
      <c r="D55" t="inlineStr"/>
      <c r="E55" t="inlineStr"/>
    </row>
    <row r="56">
      <c r="A56" t="inlineStr">
        <is>
          <t>Dependent Variable (Y)</t>
        </is>
      </c>
      <c r="B56" t="inlineStr">
        <is>
          <t>XRCC3expression</t>
        </is>
      </c>
      <c r="C56" t="inlineStr"/>
      <c r="D56" t="inlineStr"/>
      <c r="E56" t="inlineStr"/>
    </row>
    <row r="57">
      <c r="A57" t="inlineStr">
        <is>
          <t>Model Formula</t>
        </is>
      </c>
      <c r="B57" t="inlineStr">
        <is>
          <t>XRCC3expression ~ age + number_pack_years_smoked + C(gender) + C(pathologic_M)</t>
        </is>
      </c>
      <c r="C57" t="inlineStr"/>
      <c r="D57" t="inlineStr"/>
      <c r="E57" t="inlineStr"/>
    </row>
    <row r="58">
      <c r="A58" t="inlineStr">
        <is>
          <t>R-squared</t>
        </is>
      </c>
      <c r="B58" t="inlineStr">
        <is>
          <t>0.0344</t>
        </is>
      </c>
      <c r="C58" t="inlineStr"/>
      <c r="D58" t="inlineStr"/>
      <c r="E58" t="inlineStr"/>
    </row>
    <row r="59">
      <c r="A59" t="inlineStr">
        <is>
          <t>Prob (F-statistic)</t>
        </is>
      </c>
      <c r="B59" t="inlineStr">
        <is>
          <t>1.7667e-02</t>
        </is>
      </c>
      <c r="C59" t="inlineStr"/>
      <c r="D59" t="inlineStr"/>
      <c r="E59" t="inlineStr"/>
    </row>
    <row r="60">
      <c r="A60" t="inlineStr">
        <is>
          <t>--- [ Coefficients ] ---</t>
        </is>
      </c>
      <c r="B60" t="inlineStr"/>
      <c r="C60" t="inlineStr"/>
      <c r="D60" t="inlineStr"/>
      <c r="E60" t="inlineStr"/>
    </row>
    <row r="61">
      <c r="A61" t="inlineStr">
        <is>
          <t>Intercept</t>
        </is>
      </c>
      <c r="B61" t="n">
        <v>955.3328</v>
      </c>
      <c r="C61" t="n">
        <v>616.9353</v>
      </c>
      <c r="D61" t="n">
        <v>1293.7302</v>
      </c>
      <c r="E61" t="inlineStr">
        <is>
          <t>&lt;0.001</t>
        </is>
      </c>
    </row>
    <row r="62">
      <c r="A62" t="inlineStr">
        <is>
          <t>C(gender)[T.MALE]</t>
        </is>
      </c>
      <c r="B62" t="n">
        <v>92.8733</v>
      </c>
      <c r="C62" t="n">
        <v>3.7343</v>
      </c>
      <c r="D62" t="n">
        <v>182.0123</v>
      </c>
      <c r="E62" t="inlineStr">
        <is>
          <t>0.041</t>
        </is>
      </c>
    </row>
    <row r="63">
      <c r="A63" t="inlineStr">
        <is>
          <t>C(pathologic_M)[T.1.0]</t>
        </is>
      </c>
      <c r="B63" t="n">
        <v>-106.1958</v>
      </c>
      <c r="C63" t="n">
        <v>-402.125</v>
      </c>
      <c r="D63" t="n">
        <v>189.7334</v>
      </c>
      <c r="E63" t="inlineStr">
        <is>
          <t>0.481</t>
        </is>
      </c>
    </row>
    <row r="64">
      <c r="A64" t="inlineStr">
        <is>
          <t>age</t>
        </is>
      </c>
      <c r="B64" t="n">
        <v>-6.3503</v>
      </c>
      <c r="C64" t="n">
        <v>-11.1599</v>
      </c>
      <c r="D64" t="n">
        <v>-1.5407</v>
      </c>
      <c r="E64" t="inlineStr">
        <is>
          <t>0.010</t>
        </is>
      </c>
    </row>
    <row r="65">
      <c r="A65" t="inlineStr">
        <is>
          <t>number_pack_years_smoked</t>
        </is>
      </c>
      <c r="B65" t="n">
        <v>-0.1928</v>
      </c>
      <c r="C65" t="n">
        <v>-1.4473</v>
      </c>
      <c r="D65" t="n">
        <v>1.0617</v>
      </c>
      <c r="E65" t="inlineStr">
        <is>
          <t>0.763</t>
        </is>
      </c>
    </row>
    <row r="66">
      <c r="A66" t="inlineStr"/>
      <c r="B66" t="inlineStr"/>
      <c r="C66" t="inlineStr"/>
      <c r="D66" t="inlineStr"/>
      <c r="E6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Survival Type</t>
        </is>
      </c>
      <c r="B1" s="1" t="inlineStr">
        <is>
          <t>Cancer Type</t>
        </is>
      </c>
      <c r="C1" s="1" t="inlineStr">
        <is>
          <t>Target</t>
        </is>
      </c>
      <c r="D1" s="1" t="inlineStr">
        <is>
          <t>Chi-square</t>
        </is>
      </c>
      <c r="E1" s="1" t="inlineStr">
        <is>
          <t>P-value</t>
        </is>
      </c>
    </row>
    <row r="2">
      <c r="A2" t="inlineStr">
        <is>
          <t>Overall Survival (OS)</t>
        </is>
      </c>
      <c r="B2" t="inlineStr">
        <is>
          <t>LUSC</t>
        </is>
      </c>
      <c r="C2" t="inlineStr">
        <is>
          <t>XRCC3</t>
        </is>
      </c>
      <c r="D2" t="inlineStr">
        <is>
          <t>4.565</t>
        </is>
      </c>
      <c r="E2" t="inlineStr">
        <is>
          <t>0.033</t>
        </is>
      </c>
    </row>
    <row r="3">
      <c r="A3" t="inlineStr">
        <is>
          <t>Relapse-Free Survival (RFS)</t>
        </is>
      </c>
      <c r="B3" t="inlineStr">
        <is>
          <t>LUSC</t>
        </is>
      </c>
      <c r="C3" t="inlineStr">
        <is>
          <t>XRCC3</t>
        </is>
      </c>
      <c r="D3" t="inlineStr">
        <is>
          <t>1.724</t>
        </is>
      </c>
      <c r="E3" t="inlineStr">
        <is>
          <t>0.189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2026-06-30T08:14:17Z</dcterms:created>
  <dcterms:modified xsi:type="dcterms:W3CDTF">2026-06-30T08:14:17Z</dcterms:modified>
</cp:coreProperties>
</file>
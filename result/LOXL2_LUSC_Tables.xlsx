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4 (Multivariate OLS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>
        <is>
          <t>High</t>
        </is>
      </c>
      <c r="C1" s="1" t="inlineStr">
        <is>
          <t>Low</t>
        </is>
      </c>
      <c r="D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</row>
    <row r="3">
      <c r="A3" t="inlineStr">
        <is>
          <t xml:space="preserve">  0.0</t>
        </is>
      </c>
      <c r="B3" t="n">
        <v>85</v>
      </c>
      <c r="C3" t="n">
        <v>104</v>
      </c>
      <c r="D3" t="inlineStr">
        <is>
          <t>0.087</t>
        </is>
      </c>
    </row>
    <row r="4">
      <c r="A4" t="inlineStr">
        <is>
          <t xml:space="preserve">  1.0</t>
        </is>
      </c>
      <c r="B4" t="n">
        <v>159</v>
      </c>
      <c r="C4" t="n">
        <v>139</v>
      </c>
      <c r="D4" t="inlineStr"/>
    </row>
    <row r="5">
      <c r="A5" t="inlineStr">
        <is>
          <t>gender</t>
        </is>
      </c>
      <c r="B5" t="inlineStr"/>
      <c r="C5" t="inlineStr"/>
      <c r="D5" t="inlineStr"/>
    </row>
    <row r="6">
      <c r="A6" t="inlineStr">
        <is>
          <t>  </t>
        </is>
      </c>
      <c r="B6" t="n">
        <v>0</v>
      </c>
      <c r="C6" t="n">
        <v>1</v>
      </c>
      <c r="D6" t="inlineStr">
        <is>
          <t>0.173</t>
        </is>
      </c>
    </row>
    <row r="7">
      <c r="A7" t="inlineStr">
        <is>
          <t xml:space="preserve">  FEMALE</t>
        </is>
      </c>
      <c r="B7" t="n">
        <v>55</v>
      </c>
      <c r="C7" t="n">
        <v>70</v>
      </c>
      <c r="D7" t="inlineStr"/>
    </row>
    <row r="8">
      <c r="A8" t="inlineStr">
        <is>
          <t xml:space="preserve">  MALE</t>
        </is>
      </c>
      <c r="B8" t="n">
        <v>189</v>
      </c>
      <c r="C8" t="n">
        <v>173</v>
      </c>
      <c r="D8" t="inlineStr"/>
    </row>
    <row r="9">
      <c r="A9" t="inlineStr">
        <is>
          <t>pathologic_stage</t>
        </is>
      </c>
      <c r="B9" t="inlineStr"/>
      <c r="C9" t="inlineStr"/>
      <c r="D9" t="inlineStr"/>
    </row>
    <row r="10">
      <c r="A10" t="inlineStr">
        <is>
          <t xml:space="preserve">  1.0</t>
        </is>
      </c>
      <c r="B10" t="n">
        <v>119</v>
      </c>
      <c r="C10" t="n">
        <v>118</v>
      </c>
      <c r="D10" t="inlineStr">
        <is>
          <t>0.368</t>
        </is>
      </c>
    </row>
    <row r="11">
      <c r="A11" t="inlineStr">
        <is>
          <t xml:space="preserve">  2.0</t>
        </is>
      </c>
      <c r="B11" t="n">
        <v>82</v>
      </c>
      <c r="C11" t="n">
        <v>74</v>
      </c>
      <c r="D11" t="inlineStr"/>
    </row>
    <row r="12">
      <c r="A12" t="inlineStr">
        <is>
          <t xml:space="preserve">  3.0</t>
        </is>
      </c>
      <c r="B12" t="n">
        <v>36</v>
      </c>
      <c r="C12" t="n">
        <v>47</v>
      </c>
      <c r="D12" t="inlineStr"/>
    </row>
    <row r="13">
      <c r="A13" t="inlineStr">
        <is>
          <t xml:space="preserve">  4.0</t>
        </is>
      </c>
      <c r="B13" t="n">
        <v>5</v>
      </c>
      <c r="C13" t="n">
        <v>2</v>
      </c>
      <c r="D13" t="inlineStr"/>
    </row>
    <row r="14">
      <c r="A14" t="inlineStr">
        <is>
          <t>pathologic_M</t>
        </is>
      </c>
      <c r="B14" t="inlineStr"/>
      <c r="C14" t="inlineStr"/>
      <c r="D14" t="inlineStr"/>
    </row>
    <row r="15">
      <c r="A15" t="inlineStr">
        <is>
          <t xml:space="preserve">  0.0</t>
        </is>
      </c>
      <c r="B15" t="n">
        <v>200</v>
      </c>
      <c r="C15" t="n">
        <v>200</v>
      </c>
      <c r="D15" t="inlineStr">
        <is>
          <t>0.458</t>
        </is>
      </c>
    </row>
    <row r="16">
      <c r="A16" t="inlineStr">
        <is>
          <t xml:space="preserve">  1.0</t>
        </is>
      </c>
      <c r="B16" t="n">
        <v>5</v>
      </c>
      <c r="C16" t="n">
        <v>2</v>
      </c>
      <c r="D16" t="inlineStr"/>
    </row>
    <row r="17">
      <c r="A17" t="inlineStr">
        <is>
          <t>pathologic_N</t>
        </is>
      </c>
      <c r="B17" t="inlineStr"/>
      <c r="C17" t="inlineStr"/>
      <c r="D17" t="inlineStr"/>
    </row>
    <row r="18">
      <c r="A18" t="inlineStr">
        <is>
          <t xml:space="preserve">  0.0</t>
        </is>
      </c>
      <c r="B18" t="n">
        <v>159</v>
      </c>
      <c r="C18" t="n">
        <v>151</v>
      </c>
      <c r="D18" t="inlineStr">
        <is>
          <t>0.248</t>
        </is>
      </c>
    </row>
    <row r="19">
      <c r="A19" t="inlineStr">
        <is>
          <t xml:space="preserve">  1.0</t>
        </is>
      </c>
      <c r="B19" t="n">
        <v>65</v>
      </c>
      <c r="C19" t="n">
        <v>61</v>
      </c>
      <c r="D19" t="inlineStr"/>
    </row>
    <row r="20">
      <c r="A20" t="inlineStr">
        <is>
          <t xml:space="preserve">  2.0</t>
        </is>
      </c>
      <c r="B20" t="n">
        <v>14</v>
      </c>
      <c r="C20" t="n">
        <v>26</v>
      </c>
      <c r="D20" t="inlineStr"/>
    </row>
    <row r="21">
      <c r="A21" t="inlineStr">
        <is>
          <t xml:space="preserve">  3.0</t>
        </is>
      </c>
      <c r="B21" t="n">
        <v>2</v>
      </c>
      <c r="C21" t="n">
        <v>3</v>
      </c>
      <c r="D21" t="inlineStr"/>
    </row>
    <row r="22">
      <c r="A22" t="inlineStr">
        <is>
          <t>pathologic_T</t>
        </is>
      </c>
      <c r="B22" t="inlineStr"/>
      <c r="C22" t="inlineStr"/>
      <c r="D22" t="inlineStr"/>
    </row>
    <row r="23">
      <c r="A23" t="inlineStr">
        <is>
          <t xml:space="preserve">  1.0</t>
        </is>
      </c>
      <c r="B23" t="n">
        <v>46</v>
      </c>
      <c r="C23" t="n">
        <v>62</v>
      </c>
      <c r="D23" t="inlineStr">
        <is>
          <t>0.347</t>
        </is>
      </c>
    </row>
    <row r="24">
      <c r="A24" t="inlineStr">
        <is>
          <t xml:space="preserve">  2.0</t>
        </is>
      </c>
      <c r="B24" t="n">
        <v>151</v>
      </c>
      <c r="C24" t="n">
        <v>135</v>
      </c>
      <c r="D24" t="inlineStr"/>
    </row>
    <row r="25">
      <c r="A25" t="inlineStr">
        <is>
          <t xml:space="preserve">  3.0</t>
        </is>
      </c>
      <c r="B25" t="n">
        <v>35</v>
      </c>
      <c r="C25" t="n">
        <v>35</v>
      </c>
      <c r="D25" t="inlineStr"/>
    </row>
    <row r="26">
      <c r="A26" t="inlineStr">
        <is>
          <t xml:space="preserve">  4.0</t>
        </is>
      </c>
      <c r="B26" t="n">
        <v>12</v>
      </c>
      <c r="C26" t="n">
        <v>11</v>
      </c>
      <c r="D26" t="inlineStr"/>
    </row>
    <row r="27">
      <c r="A27" t="inlineStr">
        <is>
          <t>SmokingStatus</t>
        </is>
      </c>
      <c r="B27" t="inlineStr"/>
      <c r="C27" t="inlineStr"/>
      <c r="D27" t="inlineStr"/>
    </row>
    <row r="28">
      <c r="A28" t="inlineStr">
        <is>
          <t xml:space="preserve">  0.0</t>
        </is>
      </c>
      <c r="B28" t="n">
        <v>33</v>
      </c>
      <c r="C28" t="n">
        <v>43</v>
      </c>
      <c r="D28" t="inlineStr">
        <is>
          <t>0.261</t>
        </is>
      </c>
    </row>
    <row r="29">
      <c r="A29" t="inlineStr">
        <is>
          <t xml:space="preserve">  1.0</t>
        </is>
      </c>
      <c r="B29" t="n">
        <v>211</v>
      </c>
      <c r="C29" t="n">
        <v>201</v>
      </c>
      <c r="D2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LOXL2expression</t>
        </is>
      </c>
      <c r="D1" s="1" t="inlineStr">
        <is>
          <t>number_pack_years_smoked</t>
        </is>
      </c>
      <c r="E1" s="1" t="inlineStr">
        <is>
          <t>TP53Expression</t>
        </is>
      </c>
      <c r="F1" s="1" t="inlineStr">
        <is>
          <t>CDKN2AExpression</t>
        </is>
      </c>
      <c r="G1" s="1" t="inlineStr">
        <is>
          <t>SOX2Expression</t>
        </is>
      </c>
      <c r="H1" s="1" t="inlineStr">
        <is>
          <t>PIK3CAExpression</t>
        </is>
      </c>
      <c r="I1" s="1" t="inlineStr">
        <is>
          <t>NOTCH1Expression</t>
        </is>
      </c>
      <c r="J1" s="1" t="inlineStr">
        <is>
          <t>age</t>
        </is>
      </c>
    </row>
    <row r="2">
      <c r="A2" t="inlineStr">
        <is>
          <t>LOXL2expression</t>
        </is>
      </c>
      <c r="B2" t="inlineStr">
        <is>
          <t>R</t>
        </is>
      </c>
      <c r="C2" t="inlineStr">
        <is>
          <t>1</t>
        </is>
      </c>
      <c r="D2" t="inlineStr">
        <is>
          <t>-0.005</t>
        </is>
      </c>
      <c r="E2" t="inlineStr">
        <is>
          <t>-0.080</t>
        </is>
      </c>
      <c r="F2" t="inlineStr">
        <is>
          <t>-0.007</t>
        </is>
      </c>
      <c r="G2" t="inlineStr">
        <is>
          <t>-0.266</t>
        </is>
      </c>
      <c r="H2" t="inlineStr">
        <is>
          <t>-0.115</t>
        </is>
      </c>
      <c r="I2" t="inlineStr">
        <is>
          <t>0.072</t>
        </is>
      </c>
      <c r="J2" t="inlineStr">
        <is>
          <t>0.065</t>
        </is>
      </c>
    </row>
    <row r="3">
      <c r="A3" t="inlineStr"/>
      <c r="B3" t="inlineStr">
        <is>
          <t>P</t>
        </is>
      </c>
      <c r="C3" t="inlineStr"/>
      <c r="D3" t="inlineStr">
        <is>
          <t>0.927</t>
        </is>
      </c>
      <c r="E3" t="inlineStr">
        <is>
          <t>0.107</t>
        </is>
      </c>
      <c r="F3" t="inlineStr">
        <is>
          <t>0.884</t>
        </is>
      </c>
      <c r="G3" t="inlineStr">
        <is>
          <t>&lt;0.001</t>
        </is>
      </c>
      <c r="H3" t="inlineStr">
        <is>
          <t>0.020</t>
        </is>
      </c>
      <c r="I3" t="inlineStr">
        <is>
          <t>0.146</t>
        </is>
      </c>
      <c r="J3" t="inlineStr">
        <is>
          <t>0.189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-0.005</t>
        </is>
      </c>
      <c r="D4" t="inlineStr">
        <is>
          <t>1</t>
        </is>
      </c>
      <c r="E4" t="inlineStr">
        <is>
          <t>-0.009</t>
        </is>
      </c>
      <c r="F4" t="inlineStr">
        <is>
          <t>-0.020</t>
        </is>
      </c>
      <c r="G4" t="inlineStr">
        <is>
          <t>-0.041</t>
        </is>
      </c>
      <c r="H4" t="inlineStr">
        <is>
          <t>0.020</t>
        </is>
      </c>
      <c r="I4" t="inlineStr">
        <is>
          <t>0.003</t>
        </is>
      </c>
      <c r="J4" t="inlineStr">
        <is>
          <t>0.040</t>
        </is>
      </c>
    </row>
    <row r="5">
      <c r="A5" t="inlineStr"/>
      <c r="B5" t="inlineStr">
        <is>
          <t>P</t>
        </is>
      </c>
      <c r="C5" t="inlineStr">
        <is>
          <t>0.927</t>
        </is>
      </c>
      <c r="D5" t="inlineStr"/>
      <c r="E5" t="inlineStr">
        <is>
          <t>0.859</t>
        </is>
      </c>
      <c r="F5" t="inlineStr">
        <is>
          <t>0.692</t>
        </is>
      </c>
      <c r="G5" t="inlineStr">
        <is>
          <t>0.412</t>
        </is>
      </c>
      <c r="H5" t="inlineStr">
        <is>
          <t>0.686</t>
        </is>
      </c>
      <c r="I5" t="inlineStr">
        <is>
          <t>0.955</t>
        </is>
      </c>
      <c r="J5" t="inlineStr">
        <is>
          <t>0.417</t>
        </is>
      </c>
    </row>
    <row r="6">
      <c r="A6" t="inlineStr">
        <is>
          <t>TP53Expression</t>
        </is>
      </c>
      <c r="B6" t="inlineStr">
        <is>
          <t>R</t>
        </is>
      </c>
      <c r="C6" t="inlineStr">
        <is>
          <t>-0.080</t>
        </is>
      </c>
      <c r="D6" t="inlineStr">
        <is>
          <t>-0.009</t>
        </is>
      </c>
      <c r="E6" t="inlineStr">
        <is>
          <t>1</t>
        </is>
      </c>
      <c r="F6" t="inlineStr">
        <is>
          <t>-0.023</t>
        </is>
      </c>
      <c r="G6" t="inlineStr">
        <is>
          <t>0.071</t>
        </is>
      </c>
      <c r="H6" t="inlineStr">
        <is>
          <t>0.066</t>
        </is>
      </c>
      <c r="I6" t="inlineStr">
        <is>
          <t>0.096</t>
        </is>
      </c>
      <c r="J6" t="inlineStr">
        <is>
          <t>-0.046</t>
        </is>
      </c>
    </row>
    <row r="7">
      <c r="A7" t="inlineStr"/>
      <c r="B7" t="inlineStr">
        <is>
          <t>P</t>
        </is>
      </c>
      <c r="C7" t="inlineStr">
        <is>
          <t>0.107</t>
        </is>
      </c>
      <c r="D7" t="inlineStr">
        <is>
          <t>0.859</t>
        </is>
      </c>
      <c r="E7" t="inlineStr"/>
      <c r="F7" t="inlineStr">
        <is>
          <t>0.650</t>
        </is>
      </c>
      <c r="G7" t="inlineStr">
        <is>
          <t>0.155</t>
        </is>
      </c>
      <c r="H7" t="inlineStr">
        <is>
          <t>0.185</t>
        </is>
      </c>
      <c r="I7" t="inlineStr">
        <is>
          <t>0.054</t>
        </is>
      </c>
      <c r="J7" t="inlineStr">
        <is>
          <t>0.349</t>
        </is>
      </c>
    </row>
    <row r="8">
      <c r="A8" t="inlineStr">
        <is>
          <t>CDKN2AExpression</t>
        </is>
      </c>
      <c r="B8" t="inlineStr">
        <is>
          <t>R</t>
        </is>
      </c>
      <c r="C8" t="inlineStr">
        <is>
          <t>-0.007</t>
        </is>
      </c>
      <c r="D8" t="inlineStr">
        <is>
          <t>-0.020</t>
        </is>
      </c>
      <c r="E8" t="inlineStr">
        <is>
          <t>-0.023</t>
        </is>
      </c>
      <c r="F8" t="inlineStr">
        <is>
          <t>1</t>
        </is>
      </c>
      <c r="G8" t="inlineStr">
        <is>
          <t>0.003</t>
        </is>
      </c>
      <c r="H8" t="inlineStr">
        <is>
          <t>-0.025</t>
        </is>
      </c>
      <c r="I8" t="inlineStr">
        <is>
          <t>-0.066</t>
        </is>
      </c>
      <c r="J8" t="inlineStr">
        <is>
          <t>-0.015</t>
        </is>
      </c>
    </row>
    <row r="9">
      <c r="A9" t="inlineStr"/>
      <c r="B9" t="inlineStr">
        <is>
          <t>P</t>
        </is>
      </c>
      <c r="C9" t="inlineStr">
        <is>
          <t>0.884</t>
        </is>
      </c>
      <c r="D9" t="inlineStr">
        <is>
          <t>0.692</t>
        </is>
      </c>
      <c r="E9" t="inlineStr">
        <is>
          <t>0.650</t>
        </is>
      </c>
      <c r="F9" t="inlineStr"/>
      <c r="G9" t="inlineStr">
        <is>
          <t>0.951</t>
        </is>
      </c>
      <c r="H9" t="inlineStr">
        <is>
          <t>0.619</t>
        </is>
      </c>
      <c r="I9" t="inlineStr">
        <is>
          <t>0.186</t>
        </is>
      </c>
      <c r="J9" t="inlineStr">
        <is>
          <t>0.764</t>
        </is>
      </c>
    </row>
    <row r="10">
      <c r="A10" t="inlineStr">
        <is>
          <t>SOX2Expression</t>
        </is>
      </c>
      <c r="B10" t="inlineStr">
        <is>
          <t>R</t>
        </is>
      </c>
      <c r="C10" t="inlineStr">
        <is>
          <t>-0.266</t>
        </is>
      </c>
      <c r="D10" t="inlineStr">
        <is>
          <t>-0.041</t>
        </is>
      </c>
      <c r="E10" t="inlineStr">
        <is>
          <t>0.071</t>
        </is>
      </c>
      <c r="F10" t="inlineStr">
        <is>
          <t>0.003</t>
        </is>
      </c>
      <c r="G10" t="inlineStr">
        <is>
          <t>1</t>
        </is>
      </c>
      <c r="H10" t="inlineStr">
        <is>
          <t>0.555</t>
        </is>
      </c>
      <c r="I10" t="inlineStr">
        <is>
          <t>0.012</t>
        </is>
      </c>
      <c r="J10" t="inlineStr">
        <is>
          <t>-0.146</t>
        </is>
      </c>
    </row>
    <row r="11">
      <c r="A11" t="inlineStr"/>
      <c r="B11" t="inlineStr">
        <is>
          <t>P</t>
        </is>
      </c>
      <c r="C11" t="inlineStr">
        <is>
          <t>&lt;0.001</t>
        </is>
      </c>
      <c r="D11" t="inlineStr">
        <is>
          <t>0.412</t>
        </is>
      </c>
      <c r="E11" t="inlineStr">
        <is>
          <t>0.155</t>
        </is>
      </c>
      <c r="F11" t="inlineStr">
        <is>
          <t>0.951</t>
        </is>
      </c>
      <c r="G11" t="inlineStr"/>
      <c r="H11" t="inlineStr">
        <is>
          <t>&lt;0.001</t>
        </is>
      </c>
      <c r="I11" t="inlineStr">
        <is>
          <t>0.805</t>
        </is>
      </c>
      <c r="J11" t="inlineStr">
        <is>
          <t>0.003</t>
        </is>
      </c>
    </row>
    <row r="12">
      <c r="A12" t="inlineStr">
        <is>
          <t>PIK3CAExpression</t>
        </is>
      </c>
      <c r="B12" t="inlineStr">
        <is>
          <t>R</t>
        </is>
      </c>
      <c r="C12" t="inlineStr">
        <is>
          <t>-0.115</t>
        </is>
      </c>
      <c r="D12" t="inlineStr">
        <is>
          <t>0.020</t>
        </is>
      </c>
      <c r="E12" t="inlineStr">
        <is>
          <t>0.066</t>
        </is>
      </c>
      <c r="F12" t="inlineStr">
        <is>
          <t>-0.025</t>
        </is>
      </c>
      <c r="G12" t="inlineStr">
        <is>
          <t>0.555</t>
        </is>
      </c>
      <c r="H12" t="inlineStr">
        <is>
          <t>1</t>
        </is>
      </c>
      <c r="I12" t="inlineStr">
        <is>
          <t>-0.037</t>
        </is>
      </c>
      <c r="J12" t="inlineStr">
        <is>
          <t>-0.031</t>
        </is>
      </c>
    </row>
    <row r="13">
      <c r="A13" t="inlineStr"/>
      <c r="B13" t="inlineStr">
        <is>
          <t>P</t>
        </is>
      </c>
      <c r="C13" t="inlineStr">
        <is>
          <t>0.020</t>
        </is>
      </c>
      <c r="D13" t="inlineStr">
        <is>
          <t>0.686</t>
        </is>
      </c>
      <c r="E13" t="inlineStr">
        <is>
          <t>0.185</t>
        </is>
      </c>
      <c r="F13" t="inlineStr">
        <is>
          <t>0.619</t>
        </is>
      </c>
      <c r="G13" t="inlineStr">
        <is>
          <t>&lt;0.001</t>
        </is>
      </c>
      <c r="H13" t="inlineStr"/>
      <c r="I13" t="inlineStr">
        <is>
          <t>0.461</t>
        </is>
      </c>
      <c r="J13" t="inlineStr">
        <is>
          <t>0.532</t>
        </is>
      </c>
    </row>
    <row r="14">
      <c r="A14" t="inlineStr">
        <is>
          <t>NOTCH1Expression</t>
        </is>
      </c>
      <c r="B14" t="inlineStr">
        <is>
          <t>R</t>
        </is>
      </c>
      <c r="C14" t="inlineStr">
        <is>
          <t>0.072</t>
        </is>
      </c>
      <c r="D14" t="inlineStr">
        <is>
          <t>0.003</t>
        </is>
      </c>
      <c r="E14" t="inlineStr">
        <is>
          <t>0.096</t>
        </is>
      </c>
      <c r="F14" t="inlineStr">
        <is>
          <t>-0.066</t>
        </is>
      </c>
      <c r="G14" t="inlineStr">
        <is>
          <t>0.012</t>
        </is>
      </c>
      <c r="H14" t="inlineStr">
        <is>
          <t>-0.037</t>
        </is>
      </c>
      <c r="I14" t="inlineStr">
        <is>
          <t>1</t>
        </is>
      </c>
      <c r="J14" t="inlineStr">
        <is>
          <t>0.002</t>
        </is>
      </c>
    </row>
    <row r="15">
      <c r="A15" t="inlineStr"/>
      <c r="B15" t="inlineStr">
        <is>
          <t>P</t>
        </is>
      </c>
      <c r="C15" t="inlineStr">
        <is>
          <t>0.146</t>
        </is>
      </c>
      <c r="D15" t="inlineStr">
        <is>
          <t>0.955</t>
        </is>
      </c>
      <c r="E15" t="inlineStr">
        <is>
          <t>0.054</t>
        </is>
      </c>
      <c r="F15" t="inlineStr">
        <is>
          <t>0.186</t>
        </is>
      </c>
      <c r="G15" t="inlineStr">
        <is>
          <t>0.805</t>
        </is>
      </c>
      <c r="H15" t="inlineStr">
        <is>
          <t>0.461</t>
        </is>
      </c>
      <c r="I15" t="inlineStr"/>
      <c r="J15" t="inlineStr">
        <is>
          <t>0.974</t>
        </is>
      </c>
    </row>
    <row r="16">
      <c r="A16" t="inlineStr">
        <is>
          <t>age</t>
        </is>
      </c>
      <c r="B16" t="inlineStr">
        <is>
          <t>R</t>
        </is>
      </c>
      <c r="C16" t="inlineStr">
        <is>
          <t>0.065</t>
        </is>
      </c>
      <c r="D16" t="inlineStr">
        <is>
          <t>0.040</t>
        </is>
      </c>
      <c r="E16" t="inlineStr">
        <is>
          <t>-0.046</t>
        </is>
      </c>
      <c r="F16" t="inlineStr">
        <is>
          <t>-0.015</t>
        </is>
      </c>
      <c r="G16" t="inlineStr">
        <is>
          <t>-0.146</t>
        </is>
      </c>
      <c r="H16" t="inlineStr">
        <is>
          <t>-0.031</t>
        </is>
      </c>
      <c r="I16" t="inlineStr">
        <is>
          <t>0.002</t>
        </is>
      </c>
      <c r="J16" t="inlineStr">
        <is>
          <t>1</t>
        </is>
      </c>
    </row>
    <row r="17">
      <c r="A17" t="inlineStr"/>
      <c r="B17" t="inlineStr">
        <is>
          <t>P</t>
        </is>
      </c>
      <c r="C17" t="inlineStr">
        <is>
          <t>0.189</t>
        </is>
      </c>
      <c r="D17" t="inlineStr">
        <is>
          <t>0.417</t>
        </is>
      </c>
      <c r="E17" t="inlineStr">
        <is>
          <t>0.349</t>
        </is>
      </c>
      <c r="F17" t="inlineStr">
        <is>
          <t>0.764</t>
        </is>
      </c>
      <c r="G17" t="inlineStr">
        <is>
          <t>0.003</t>
        </is>
      </c>
      <c r="H17" t="inlineStr">
        <is>
          <t>0.532</t>
        </is>
      </c>
      <c r="I17" t="inlineStr">
        <is>
          <t>0.974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P-value</t>
        </is>
      </c>
    </row>
    <row r="2">
      <c r="A2" t="inlineStr">
        <is>
          <t>age</t>
        </is>
      </c>
      <c r="B2" t="n">
        <v>1.021</v>
      </c>
      <c r="C2" t="inlineStr">
        <is>
          <t>0.029</t>
        </is>
      </c>
    </row>
    <row r="3">
      <c r="A3" t="inlineStr">
        <is>
          <t>number_pack_years_smoked</t>
        </is>
      </c>
      <c r="B3" t="n">
        <v>1</v>
      </c>
      <c r="C3" t="inlineStr">
        <is>
          <t>0.885</t>
        </is>
      </c>
    </row>
    <row r="4">
      <c r="A4" t="inlineStr">
        <is>
          <t>LOXL2group_Low</t>
        </is>
      </c>
      <c r="B4" t="n">
        <v>0.6919999999999999</v>
      </c>
      <c r="C4" t="inlineStr">
        <is>
          <t>0.016</t>
        </is>
      </c>
    </row>
    <row r="5">
      <c r="A5" t="inlineStr">
        <is>
          <t>gender_MALE</t>
        </is>
      </c>
      <c r="B5" t="n">
        <v>1.163</v>
      </c>
      <c r="C5" t="inlineStr">
        <is>
          <t>0.397</t>
        </is>
      </c>
    </row>
    <row r="6">
      <c r="A6" t="inlineStr">
        <is>
          <t>pathologic_stage_2.0</t>
        </is>
      </c>
      <c r="B6" t="n">
        <v>1.016</v>
      </c>
      <c r="C6" t="inlineStr">
        <is>
          <t>0.931</t>
        </is>
      </c>
    </row>
    <row r="7">
      <c r="A7" t="inlineStr">
        <is>
          <t>pathologic_stage_3.0</t>
        </is>
      </c>
      <c r="B7" t="n">
        <v>1.384</v>
      </c>
      <c r="C7" t="inlineStr">
        <is>
          <t>0.109</t>
        </is>
      </c>
    </row>
    <row r="8">
      <c r="A8" t="inlineStr">
        <is>
          <t>pathologic_stage_4.0</t>
        </is>
      </c>
      <c r="B8" t="n">
        <v>2.853</v>
      </c>
      <c r="C8" t="inlineStr">
        <is>
          <t>0.025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>
        <f>== [ Model: Pathologic Stage ] ===</f>
        <v/>
      </c>
      <c r="B2" t="inlineStr"/>
      <c r="C2" t="inlineStr"/>
      <c r="D2" t="inlineStr"/>
      <c r="E2" t="inlineStr"/>
    </row>
    <row r="3">
      <c r="A3" t="inlineStr">
        <is>
          <t>Dependent Variable (Y)</t>
        </is>
      </c>
      <c r="B3" t="inlineStr">
        <is>
          <t>LOXL2expression</t>
        </is>
      </c>
      <c r="C3" t="inlineStr"/>
      <c r="D3" t="inlineStr"/>
      <c r="E3" t="inlineStr"/>
    </row>
    <row r="4">
      <c r="A4" t="inlineStr">
        <is>
          <t>Model Formula</t>
        </is>
      </c>
      <c r="B4" t="inlineStr">
        <is>
          <t>LOXL2expression ~ age + C(gender) + number_pack_years_smoked + C(pathologic_stage)</t>
        </is>
      </c>
      <c r="C4" t="inlineStr"/>
      <c r="D4" t="inlineStr"/>
      <c r="E4" t="inlineStr"/>
    </row>
    <row r="5">
      <c r="A5" t="inlineStr">
        <is>
          <t>R-squared</t>
        </is>
      </c>
      <c r="B5" t="inlineStr">
        <is>
          <t>0.0148</t>
        </is>
      </c>
      <c r="C5" t="inlineStr"/>
      <c r="D5" t="inlineStr"/>
      <c r="E5" t="inlineStr"/>
    </row>
    <row r="6">
      <c r="A6" t="inlineStr">
        <is>
          <t>Prob (F-statistic)</t>
        </is>
      </c>
      <c r="B6" t="inlineStr">
        <is>
          <t>4.1921e-01</t>
        </is>
      </c>
      <c r="C6" t="inlineStr"/>
      <c r="D6" t="inlineStr"/>
      <c r="E6" t="inlineStr"/>
    </row>
    <row r="7">
      <c r="A7" t="inlineStr">
        <is>
          <t>--- [ Coefficients ] ---</t>
        </is>
      </c>
      <c r="B7" t="inlineStr"/>
      <c r="C7" t="inlineStr"/>
      <c r="D7" t="inlineStr"/>
      <c r="E7" t="inlineStr"/>
    </row>
    <row r="8">
      <c r="A8" t="inlineStr">
        <is>
          <t>Intercept</t>
        </is>
      </c>
      <c r="B8" t="n">
        <v>291.3891</v>
      </c>
      <c r="C8" t="n">
        <v>-1198.2117</v>
      </c>
      <c r="D8" t="n">
        <v>1780.9899</v>
      </c>
      <c r="E8" t="inlineStr">
        <is>
          <t>0.701</t>
        </is>
      </c>
    </row>
    <row r="9">
      <c r="A9" t="inlineStr">
        <is>
          <t>C(gender)[T.MALE]</t>
        </is>
      </c>
      <c r="B9" t="n">
        <v>-11.8053</v>
      </c>
      <c r="C9" t="n">
        <v>-408.188</v>
      </c>
      <c r="D9" t="n">
        <v>384.5775</v>
      </c>
      <c r="E9" t="inlineStr">
        <is>
          <t>0.953</t>
        </is>
      </c>
    </row>
    <row r="10">
      <c r="A10" t="inlineStr">
        <is>
          <t>C(pathologic_stage)[T.2.0]</t>
        </is>
      </c>
      <c r="B10" t="n">
        <v>353.2718</v>
      </c>
      <c r="C10" t="n">
        <v>-38.6638</v>
      </c>
      <c r="D10" t="n">
        <v>745.2074</v>
      </c>
      <c r="E10" t="inlineStr">
        <is>
          <t>0.077</t>
        </is>
      </c>
    </row>
    <row r="11">
      <c r="A11" t="inlineStr">
        <is>
          <t>C(pathologic_stage)[T.3.0]</t>
        </is>
      </c>
      <c r="B11" t="n">
        <v>-41.1137</v>
      </c>
      <c r="C11" t="n">
        <v>-530.4405</v>
      </c>
      <c r="D11" t="n">
        <v>448.2131</v>
      </c>
      <c r="E11" t="inlineStr">
        <is>
          <t>0.869</t>
        </is>
      </c>
    </row>
    <row r="12">
      <c r="A12" t="inlineStr">
        <is>
          <t>C(pathologic_stage)[T.4.0]</t>
        </is>
      </c>
      <c r="B12" t="n">
        <v>496.2829</v>
      </c>
      <c r="C12" t="n">
        <v>-951.6736</v>
      </c>
      <c r="D12" t="n">
        <v>1944.2394</v>
      </c>
      <c r="E12" t="inlineStr">
        <is>
          <t>0.501</t>
        </is>
      </c>
    </row>
    <row r="13">
      <c r="A13" t="inlineStr">
        <is>
          <t>age</t>
        </is>
      </c>
      <c r="B13" t="n">
        <v>15.5848</v>
      </c>
      <c r="C13" t="n">
        <v>-5.4018</v>
      </c>
      <c r="D13" t="n">
        <v>36.5715</v>
      </c>
      <c r="E13" t="inlineStr">
        <is>
          <t>0.145</t>
        </is>
      </c>
    </row>
    <row r="14">
      <c r="A14" t="inlineStr">
        <is>
          <t>number_pack_years_smoked</t>
        </is>
      </c>
      <c r="B14" t="n">
        <v>-0.3332</v>
      </c>
      <c r="C14" t="n">
        <v>-5.885</v>
      </c>
      <c r="D14" t="n">
        <v>5.2186</v>
      </c>
      <c r="E14" t="inlineStr">
        <is>
          <t>0.906</t>
        </is>
      </c>
    </row>
    <row r="15">
      <c r="A15" t="inlineStr"/>
      <c r="B15" t="inlineStr"/>
      <c r="C15" t="inlineStr"/>
      <c r="D15" t="inlineStr"/>
      <c r="E15" t="inlineStr"/>
    </row>
    <row r="16">
      <c r="A16">
        <f>== [ Model: Pathologic T ] ===</f>
        <v/>
      </c>
      <c r="B16" t="inlineStr"/>
      <c r="C16" t="inlineStr"/>
      <c r="D16" t="inlineStr"/>
      <c r="E16" t="inlineStr"/>
    </row>
    <row r="17">
      <c r="A17" t="inlineStr">
        <is>
          <t>Dependent Variable (Y)</t>
        </is>
      </c>
      <c r="B17" t="inlineStr">
        <is>
          <t>LOXL2expression</t>
        </is>
      </c>
      <c r="C17" t="inlineStr"/>
      <c r="D17" t="inlineStr"/>
      <c r="E17" t="inlineStr"/>
    </row>
    <row r="18">
      <c r="A18" t="inlineStr">
        <is>
          <t>Model Formula</t>
        </is>
      </c>
      <c r="B18" t="inlineStr">
        <is>
          <t>LOXL2expression ~ age + C(gender) + number_pack_years_smoked + C(pathologic_T)</t>
        </is>
      </c>
      <c r="C18" t="inlineStr"/>
      <c r="D18" t="inlineStr"/>
      <c r="E18" t="inlineStr"/>
    </row>
    <row r="19">
      <c r="A19" t="inlineStr">
        <is>
          <t>R-squared</t>
        </is>
      </c>
      <c r="B19" t="inlineStr">
        <is>
          <t>0.0083</t>
        </is>
      </c>
      <c r="C19" t="inlineStr"/>
      <c r="D19" t="inlineStr"/>
      <c r="E19" t="inlineStr"/>
    </row>
    <row r="20">
      <c r="A20" t="inlineStr">
        <is>
          <t>Prob (F-statistic)</t>
        </is>
      </c>
      <c r="B20" t="inlineStr">
        <is>
          <t>7.5904e-01</t>
        </is>
      </c>
      <c r="C20" t="inlineStr"/>
      <c r="D20" t="inlineStr"/>
      <c r="E20" t="inlineStr"/>
    </row>
    <row r="21">
      <c r="A21" t="inlineStr">
        <is>
          <t>--- [ Coefficients ] ---</t>
        </is>
      </c>
      <c r="B21" t="inlineStr"/>
      <c r="C21" t="inlineStr"/>
      <c r="D21" t="inlineStr"/>
      <c r="E21" t="inlineStr"/>
    </row>
    <row r="22">
      <c r="A22" t="inlineStr">
        <is>
          <t>Intercept</t>
        </is>
      </c>
      <c r="B22" t="n">
        <v>333.5152</v>
      </c>
      <c r="C22" t="n">
        <v>-1144.9589</v>
      </c>
      <c r="D22" t="n">
        <v>1811.9893</v>
      </c>
      <c r="E22" t="inlineStr">
        <is>
          <t>0.658</t>
        </is>
      </c>
    </row>
    <row r="23">
      <c r="A23" t="inlineStr">
        <is>
          <t>C(gender)[T.MALE]</t>
        </is>
      </c>
      <c r="B23" t="n">
        <v>-34.2592</v>
      </c>
      <c r="C23" t="n">
        <v>-433.3451</v>
      </c>
      <c r="D23" t="n">
        <v>364.8268</v>
      </c>
      <c r="E23" t="inlineStr">
        <is>
          <t>0.866</t>
        </is>
      </c>
    </row>
    <row r="24">
      <c r="A24" t="inlineStr">
        <is>
          <t>C(pathologic_T)[T.2.0]</t>
        </is>
      </c>
      <c r="B24" t="n">
        <v>245.4135</v>
      </c>
      <c r="C24" t="n">
        <v>-182.2224</v>
      </c>
      <c r="D24" t="n">
        <v>673.0495</v>
      </c>
      <c r="E24" t="inlineStr">
        <is>
          <t>0.260</t>
        </is>
      </c>
    </row>
    <row r="25">
      <c r="A25" t="inlineStr">
        <is>
          <t>C(pathologic_T)[T.3.0]</t>
        </is>
      </c>
      <c r="B25" t="n">
        <v>91.0917</v>
      </c>
      <c r="C25" t="n">
        <v>-508.9638</v>
      </c>
      <c r="D25" t="n">
        <v>691.1471</v>
      </c>
      <c r="E25" t="inlineStr">
        <is>
          <t>0.766</t>
        </is>
      </c>
    </row>
    <row r="26">
      <c r="A26" t="inlineStr">
        <is>
          <t>C(pathologic_T)[T.4.0]</t>
        </is>
      </c>
      <c r="B26" t="n">
        <v>163.9089</v>
      </c>
      <c r="C26" t="n">
        <v>-758.8638</v>
      </c>
      <c r="D26" t="n">
        <v>1086.6816</v>
      </c>
      <c r="E26" t="inlineStr">
        <is>
          <t>0.727</t>
        </is>
      </c>
    </row>
    <row r="27">
      <c r="A27" t="inlineStr">
        <is>
          <t>age</t>
        </is>
      </c>
      <c r="B27" t="n">
        <v>14.3009</v>
      </c>
      <c r="C27" t="n">
        <v>-6.5335</v>
      </c>
      <c r="D27" t="n">
        <v>35.1352</v>
      </c>
      <c r="E27" t="inlineStr">
        <is>
          <t>0.178</t>
        </is>
      </c>
    </row>
    <row r="28">
      <c r="A28" t="inlineStr">
        <is>
          <t>number_pack_years_smoked</t>
        </is>
      </c>
      <c r="B28" t="n">
        <v>-0.2782</v>
      </c>
      <c r="C28" t="n">
        <v>-5.8234</v>
      </c>
      <c r="D28" t="n">
        <v>5.2669</v>
      </c>
      <c r="E28" t="inlineStr">
        <is>
          <t>0.921</t>
        </is>
      </c>
    </row>
    <row r="29">
      <c r="A29" t="inlineStr"/>
      <c r="B29" t="inlineStr"/>
      <c r="C29" t="inlineStr"/>
      <c r="D29" t="inlineStr"/>
      <c r="E29" t="inlineStr"/>
    </row>
    <row r="30">
      <c r="A30">
        <f>== [ Model: Pathologic N ] ===</f>
        <v/>
      </c>
      <c r="B30" t="inlineStr"/>
      <c r="C30" t="inlineStr"/>
      <c r="D30" t="inlineStr"/>
      <c r="E30" t="inlineStr"/>
    </row>
    <row r="31">
      <c r="A31" t="inlineStr">
        <is>
          <t>Dependent Variable (Y)</t>
        </is>
      </c>
      <c r="B31" t="inlineStr">
        <is>
          <t>LOXL2expression</t>
        </is>
      </c>
      <c r="C31" t="inlineStr"/>
      <c r="D31" t="inlineStr"/>
      <c r="E31" t="inlineStr"/>
    </row>
    <row r="32">
      <c r="A32" t="inlineStr">
        <is>
          <t>Model Formula</t>
        </is>
      </c>
      <c r="B32" t="inlineStr">
        <is>
          <t>LOXL2expression ~ age + C(gender) + number_pack_years_smoked + C(pathologic_N)</t>
        </is>
      </c>
      <c r="C32" t="inlineStr"/>
      <c r="D32" t="inlineStr"/>
      <c r="E32" t="inlineStr"/>
    </row>
    <row r="33">
      <c r="A33" t="inlineStr">
        <is>
          <t>R-squared</t>
        </is>
      </c>
      <c r="B33" t="inlineStr">
        <is>
          <t>0.0187</t>
        </is>
      </c>
      <c r="C33" t="inlineStr"/>
      <c r="D33" t="inlineStr"/>
      <c r="E33" t="inlineStr"/>
    </row>
    <row r="34">
      <c r="A34" t="inlineStr">
        <is>
          <t>Prob (F-statistic)</t>
        </is>
      </c>
      <c r="B34" t="inlineStr">
        <is>
          <t>2.7071e-01</t>
        </is>
      </c>
      <c r="C34" t="inlineStr"/>
      <c r="D34" t="inlineStr"/>
      <c r="E34" t="inlineStr"/>
    </row>
    <row r="35">
      <c r="A35" t="inlineStr">
        <is>
          <t>--- [ Coefficients ] ---</t>
        </is>
      </c>
      <c r="B35" t="inlineStr"/>
      <c r="C35" t="inlineStr"/>
      <c r="D35" t="inlineStr"/>
      <c r="E35" t="inlineStr"/>
    </row>
    <row r="36">
      <c r="A36" t="inlineStr">
        <is>
          <t>Intercept</t>
        </is>
      </c>
      <c r="B36" t="n">
        <v>309.8317</v>
      </c>
      <c r="C36" t="n">
        <v>-1192.2253</v>
      </c>
      <c r="D36" t="n">
        <v>1811.8887</v>
      </c>
      <c r="E36" t="inlineStr">
        <is>
          <t>0.685</t>
        </is>
      </c>
    </row>
    <row r="37">
      <c r="A37" t="inlineStr">
        <is>
          <t>C(gender)[T.MALE]</t>
        </is>
      </c>
      <c r="B37" t="n">
        <v>1.9873</v>
      </c>
      <c r="C37" t="n">
        <v>-393.5395</v>
      </c>
      <c r="D37" t="n">
        <v>397.514</v>
      </c>
      <c r="E37" t="inlineStr">
        <is>
          <t>0.992</t>
        </is>
      </c>
    </row>
    <row r="38">
      <c r="A38" t="inlineStr">
        <is>
          <t>C(pathologic_N)[T.1.0]</t>
        </is>
      </c>
      <c r="B38" t="n">
        <v>380.6894</v>
      </c>
      <c r="C38" t="n">
        <v>-20.0614</v>
      </c>
      <c r="D38" t="n">
        <v>781.4402</v>
      </c>
      <c r="E38" t="inlineStr">
        <is>
          <t>0.063</t>
        </is>
      </c>
    </row>
    <row r="39">
      <c r="A39" t="inlineStr">
        <is>
          <t>C(pathologic_N)[T.2.0]</t>
        </is>
      </c>
      <c r="B39" t="n">
        <v>-298.6394</v>
      </c>
      <c r="C39" t="n">
        <v>-946.6096</v>
      </c>
      <c r="D39" t="n">
        <v>349.3307</v>
      </c>
      <c r="E39" t="inlineStr">
        <is>
          <t>0.365</t>
        </is>
      </c>
    </row>
    <row r="40">
      <c r="A40" t="inlineStr">
        <is>
          <t>C(pathologic_N)[T.3.0]</t>
        </is>
      </c>
      <c r="B40" t="n">
        <v>-407.608</v>
      </c>
      <c r="C40" t="n">
        <v>-1980.9213</v>
      </c>
      <c r="D40" t="n">
        <v>1165.7053</v>
      </c>
      <c r="E40" t="inlineStr">
        <is>
          <t>0.611</t>
        </is>
      </c>
    </row>
    <row r="41">
      <c r="A41" t="inlineStr">
        <is>
          <t>age</t>
        </is>
      </c>
      <c r="B41" t="n">
        <v>15.6528</v>
      </c>
      <c r="C41" t="n">
        <v>-5.6082</v>
      </c>
      <c r="D41" t="n">
        <v>36.9138</v>
      </c>
      <c r="E41" t="inlineStr">
        <is>
          <t>0.149</t>
        </is>
      </c>
    </row>
    <row r="42">
      <c r="A42" t="inlineStr">
        <is>
          <t>number_pack_years_smoked</t>
        </is>
      </c>
      <c r="B42" t="n">
        <v>-0.2249</v>
      </c>
      <c r="C42" t="n">
        <v>-5.7798</v>
      </c>
      <c r="D42" t="n">
        <v>5.33</v>
      </c>
      <c r="E42" t="inlineStr">
        <is>
          <t>0.937</t>
        </is>
      </c>
    </row>
    <row r="43">
      <c r="A43" t="inlineStr"/>
      <c r="B43" t="inlineStr"/>
      <c r="C43" t="inlineStr"/>
      <c r="D43" t="inlineStr"/>
      <c r="E43" t="inlineStr"/>
    </row>
    <row r="44">
      <c r="A44">
        <f>== [ Model: Pathologic M ] ===</f>
        <v/>
      </c>
      <c r="B44" t="inlineStr"/>
      <c r="C44" t="inlineStr"/>
      <c r="D44" t="inlineStr"/>
      <c r="E44" t="inlineStr"/>
    </row>
    <row r="45">
      <c r="A45" t="inlineStr">
        <is>
          <t>Dependent Variable (Y)</t>
        </is>
      </c>
      <c r="B45" t="inlineStr">
        <is>
          <t>LOXL2expression</t>
        </is>
      </c>
      <c r="C45" t="inlineStr"/>
      <c r="D45" t="inlineStr"/>
      <c r="E45" t="inlineStr"/>
    </row>
    <row r="46">
      <c r="A46" t="inlineStr">
        <is>
          <t>Model Formula</t>
        </is>
      </c>
      <c r="B46" t="inlineStr">
        <is>
          <t>LOXL2expression ~ age + C(gender) + number_pack_years_smoked + C(pathologic_M)</t>
        </is>
      </c>
      <c r="C46" t="inlineStr"/>
      <c r="D46" t="inlineStr"/>
      <c r="E46" t="inlineStr"/>
    </row>
    <row r="47">
      <c r="A47" t="inlineStr">
        <is>
          <t>R-squared</t>
        </is>
      </c>
      <c r="B47" t="inlineStr">
        <is>
          <t>0.0082</t>
        </is>
      </c>
      <c r="C47" t="inlineStr"/>
      <c r="D47" t="inlineStr"/>
      <c r="E47" t="inlineStr"/>
    </row>
    <row r="48">
      <c r="A48" t="inlineStr">
        <is>
          <t>Prob (F-statistic)</t>
        </is>
      </c>
      <c r="B48" t="inlineStr">
        <is>
          <t>5.8729e-01</t>
        </is>
      </c>
      <c r="C48" t="inlineStr"/>
      <c r="D48" t="inlineStr"/>
      <c r="E48" t="inlineStr"/>
    </row>
    <row r="49">
      <c r="A49" t="inlineStr">
        <is>
          <t>--- [ Coefficients ] ---</t>
        </is>
      </c>
      <c r="B49" t="inlineStr"/>
      <c r="C49" t="inlineStr"/>
      <c r="D49" t="inlineStr"/>
      <c r="E49" t="inlineStr"/>
    </row>
    <row r="50">
      <c r="A50" t="inlineStr">
        <is>
          <t>Intercept</t>
        </is>
      </c>
      <c r="B50" t="n">
        <v>193.3096</v>
      </c>
      <c r="C50" t="n">
        <v>-1395.5261</v>
      </c>
      <c r="D50" t="n">
        <v>1782.1452</v>
      </c>
      <c r="E50" t="inlineStr">
        <is>
          <t>0.811</t>
        </is>
      </c>
    </row>
    <row r="51">
      <c r="A51" t="inlineStr">
        <is>
          <t>C(gender)[T.MALE]</t>
        </is>
      </c>
      <c r="B51" t="n">
        <v>131.2115</v>
      </c>
      <c r="C51" t="n">
        <v>-292.0808</v>
      </c>
      <c r="D51" t="n">
        <v>554.5039</v>
      </c>
      <c r="E51" t="inlineStr">
        <is>
          <t>0.542</t>
        </is>
      </c>
    </row>
    <row r="52">
      <c r="A52" t="inlineStr">
        <is>
          <t>C(pathologic_M)[T.1.0]</t>
        </is>
      </c>
      <c r="B52" t="n">
        <v>338.8332</v>
      </c>
      <c r="C52" t="n">
        <v>-1061.2891</v>
      </c>
      <c r="D52" t="n">
        <v>1738.9555</v>
      </c>
      <c r="E52" t="inlineStr">
        <is>
          <t>0.634</t>
        </is>
      </c>
    </row>
    <row r="53">
      <c r="A53" t="inlineStr">
        <is>
          <t>age</t>
        </is>
      </c>
      <c r="B53" t="n">
        <v>17.0468</v>
      </c>
      <c r="C53" t="n">
        <v>-5.5391</v>
      </c>
      <c r="D53" t="n">
        <v>39.6327</v>
      </c>
      <c r="E53" t="inlineStr">
        <is>
          <t>0.139</t>
        </is>
      </c>
    </row>
    <row r="54">
      <c r="A54" t="inlineStr">
        <is>
          <t>number_pack_years_smoked</t>
        </is>
      </c>
      <c r="B54" t="n">
        <v>-0.09180000000000001</v>
      </c>
      <c r="C54" t="n">
        <v>-6.0268</v>
      </c>
      <c r="D54" t="n">
        <v>5.8432</v>
      </c>
      <c r="E54" t="inlineStr">
        <is>
          <t>0.976</t>
        </is>
      </c>
    </row>
    <row r="55">
      <c r="A55" t="inlineStr"/>
      <c r="B55" t="inlineStr"/>
      <c r="C55" t="inlineStr"/>
      <c r="D55" t="inlineStr"/>
      <c r="E5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2026-06-22T17:46:42Z</dcterms:created>
  <dcterms:modified xsi:type="dcterms:W3CDTF">2026-06-22T17:46:42Z</dcterms:modified>
</cp:coreProperties>
</file>
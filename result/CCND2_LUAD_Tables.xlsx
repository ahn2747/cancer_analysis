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 (Chi-square)" sheetId="1" state="visible" r:id="rId1"/>
    <sheet name="Table 2 (Correlation)" sheetId="2" state="visible" r:id="rId2"/>
    <sheet name="Table 3 (Cox)" sheetId="3" state="visible" r:id="rId3"/>
    <sheet name="Table 4 (Multivariate OLS)" sheetId="4" state="visible" r:id="rId4"/>
    <sheet name="Table 5 (KM Log-rank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Characteristics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P-value</t>
        </is>
      </c>
    </row>
    <row r="2">
      <c r="A2" t="inlineStr">
        <is>
          <t>ageG</t>
        </is>
      </c>
      <c r="B2" t="inlineStr"/>
      <c r="C2" t="inlineStr"/>
      <c r="D2" t="inlineStr"/>
    </row>
    <row r="3">
      <c r="A3" t="inlineStr">
        <is>
          <t xml:space="preserve">  0.0</t>
        </is>
      </c>
      <c r="B3" t="n">
        <v>111</v>
      </c>
      <c r="C3" t="n">
        <v>125</v>
      </c>
      <c r="D3" t="inlineStr">
        <is>
          <t>0.239</t>
        </is>
      </c>
    </row>
    <row r="4">
      <c r="A4" t="inlineStr">
        <is>
          <t xml:space="preserve">  1.0</t>
        </is>
      </c>
      <c r="B4" t="n">
        <v>133</v>
      </c>
      <c r="C4" t="n">
        <v>121</v>
      </c>
      <c r="D4" t="inlineStr"/>
    </row>
    <row r="5">
      <c r="A5" t="inlineStr">
        <is>
          <t>gender</t>
        </is>
      </c>
      <c r="B5" t="inlineStr"/>
      <c r="C5" t="inlineStr"/>
      <c r="D5" t="inlineStr"/>
    </row>
    <row r="6">
      <c r="A6" t="inlineStr">
        <is>
          <t xml:space="preserve">  FEMALE</t>
        </is>
      </c>
      <c r="B6" t="n">
        <v>142</v>
      </c>
      <c r="C6" t="n">
        <v>124</v>
      </c>
      <c r="D6" t="inlineStr">
        <is>
          <t>0.083</t>
        </is>
      </c>
    </row>
    <row r="7">
      <c r="A7" t="inlineStr">
        <is>
          <t xml:space="preserve">  MALE</t>
        </is>
      </c>
      <c r="B7" t="n">
        <v>102</v>
      </c>
      <c r="C7" t="n">
        <v>122</v>
      </c>
      <c r="D7" t="inlineStr"/>
    </row>
    <row r="8">
      <c r="A8" t="inlineStr">
        <is>
          <t>pathologic_stage</t>
        </is>
      </c>
      <c r="B8" t="inlineStr"/>
      <c r="C8" t="inlineStr"/>
      <c r="D8" t="inlineStr"/>
    </row>
    <row r="9">
      <c r="A9" t="inlineStr">
        <is>
          <t xml:space="preserve">  1.0</t>
        </is>
      </c>
      <c r="B9" t="n">
        <v>140</v>
      </c>
      <c r="C9" t="n">
        <v>122</v>
      </c>
      <c r="D9" t="inlineStr">
        <is>
          <t>0.291</t>
        </is>
      </c>
    </row>
    <row r="10">
      <c r="A10" t="inlineStr">
        <is>
          <t xml:space="preserve">  2.0</t>
        </is>
      </c>
      <c r="B10" t="n">
        <v>54</v>
      </c>
      <c r="C10" t="n">
        <v>63</v>
      </c>
      <c r="D10" t="inlineStr"/>
    </row>
    <row r="11">
      <c r="A11" t="inlineStr">
        <is>
          <t xml:space="preserve">  3.0</t>
        </is>
      </c>
      <c r="B11" t="n">
        <v>37</v>
      </c>
      <c r="C11" t="n">
        <v>42</v>
      </c>
      <c r="D11" t="inlineStr"/>
    </row>
    <row r="12">
      <c r="A12" t="inlineStr">
        <is>
          <t xml:space="preserve">  4.0</t>
        </is>
      </c>
      <c r="B12" t="n">
        <v>9</v>
      </c>
      <c r="C12" t="n">
        <v>15</v>
      </c>
      <c r="D12" t="inlineStr"/>
    </row>
    <row r="13">
      <c r="A13" t="inlineStr">
        <is>
          <t>pathologic_M</t>
        </is>
      </c>
      <c r="B13" t="inlineStr"/>
      <c r="C13" t="inlineStr"/>
      <c r="D13" t="inlineStr"/>
    </row>
    <row r="14">
      <c r="A14" t="inlineStr">
        <is>
          <t xml:space="preserve">  0.0</t>
        </is>
      </c>
      <c r="B14" t="n">
        <v>150</v>
      </c>
      <c r="C14" t="n">
        <v>172</v>
      </c>
      <c r="D14" t="inlineStr">
        <is>
          <t>0.389</t>
        </is>
      </c>
    </row>
    <row r="15">
      <c r="A15" t="inlineStr">
        <is>
          <t xml:space="preserve">  1.0</t>
        </is>
      </c>
      <c r="B15" t="n">
        <v>9</v>
      </c>
      <c r="C15" t="n">
        <v>15</v>
      </c>
      <c r="D15" t="inlineStr"/>
    </row>
    <row r="16">
      <c r="A16" t="inlineStr">
        <is>
          <t>pathologic_N</t>
        </is>
      </c>
      <c r="B16" t="inlineStr"/>
      <c r="C16" t="inlineStr"/>
      <c r="D16" t="inlineStr"/>
    </row>
    <row r="17">
      <c r="A17" t="inlineStr">
        <is>
          <t xml:space="preserve">  0.0</t>
        </is>
      </c>
      <c r="B17" t="n">
        <v>160</v>
      </c>
      <c r="C17" t="n">
        <v>156</v>
      </c>
      <c r="D17" t="inlineStr">
        <is>
          <t>0.570</t>
        </is>
      </c>
    </row>
    <row r="18">
      <c r="A18" t="inlineStr">
        <is>
          <t xml:space="preserve">  1.0</t>
        </is>
      </c>
      <c r="B18" t="n">
        <v>46</v>
      </c>
      <c r="C18" t="n">
        <v>47</v>
      </c>
      <c r="D18" t="inlineStr"/>
    </row>
    <row r="19">
      <c r="A19" t="inlineStr">
        <is>
          <t xml:space="preserve">  2.0</t>
        </is>
      </c>
      <c r="B19" t="n">
        <v>28</v>
      </c>
      <c r="C19" t="n">
        <v>40</v>
      </c>
      <c r="D19" t="inlineStr"/>
    </row>
    <row r="20">
      <c r="A20" t="inlineStr">
        <is>
          <t xml:space="preserve">  3.0</t>
        </is>
      </c>
      <c r="B20" t="n">
        <v>1</v>
      </c>
      <c r="C20" t="n">
        <v>1</v>
      </c>
      <c r="D20" t="inlineStr"/>
    </row>
    <row r="21">
      <c r="A21" t="inlineStr">
        <is>
          <t>pathologic_T</t>
        </is>
      </c>
      <c r="B21" t="inlineStr"/>
      <c r="C21" t="inlineStr"/>
      <c r="D21" t="inlineStr"/>
    </row>
    <row r="22">
      <c r="A22" t="inlineStr">
        <is>
          <t xml:space="preserve">  1.0</t>
        </is>
      </c>
      <c r="B22" t="n">
        <v>99</v>
      </c>
      <c r="C22" t="n">
        <v>65</v>
      </c>
      <c r="D22" t="inlineStr">
        <is>
          <t>0.001</t>
        </is>
      </c>
    </row>
    <row r="23">
      <c r="A23" t="inlineStr">
        <is>
          <t xml:space="preserve">  2.0</t>
        </is>
      </c>
      <c r="B23" t="n">
        <v>117</v>
      </c>
      <c r="C23" t="n">
        <v>143</v>
      </c>
      <c r="D23" t="inlineStr"/>
    </row>
    <row r="24">
      <c r="A24" t="inlineStr">
        <is>
          <t xml:space="preserve">  3.0</t>
        </is>
      </c>
      <c r="B24" t="n">
        <v>15</v>
      </c>
      <c r="C24" t="n">
        <v>30</v>
      </c>
      <c r="D24" t="inlineStr"/>
    </row>
    <row r="25">
      <c r="A25" t="inlineStr">
        <is>
          <t xml:space="preserve">  4.0</t>
        </is>
      </c>
      <c r="B25" t="n">
        <v>11</v>
      </c>
      <c r="C25" t="n">
        <v>7</v>
      </c>
      <c r="D25" t="inlineStr"/>
    </row>
    <row r="26">
      <c r="A26" t="inlineStr">
        <is>
          <t>SmokingStatus</t>
        </is>
      </c>
      <c r="B26" t="inlineStr"/>
      <c r="C26" t="inlineStr"/>
      <c r="D26" t="inlineStr"/>
    </row>
    <row r="27">
      <c r="A27" t="inlineStr">
        <is>
          <t xml:space="preserve">  0.0</t>
        </is>
      </c>
      <c r="B27" t="n">
        <v>80</v>
      </c>
      <c r="C27" t="n">
        <v>79</v>
      </c>
      <c r="D27" t="inlineStr">
        <is>
          <t>0.923</t>
        </is>
      </c>
    </row>
    <row r="28">
      <c r="A28" t="inlineStr">
        <is>
          <t xml:space="preserve">  1.0</t>
        </is>
      </c>
      <c r="B28" t="n">
        <v>166</v>
      </c>
      <c r="C28" t="n">
        <v>167</v>
      </c>
      <c r="D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Stat</t>
        </is>
      </c>
      <c r="C1" s="1" t="inlineStr">
        <is>
          <t>CCND2expression</t>
        </is>
      </c>
      <c r="D1" s="1" t="inlineStr">
        <is>
          <t>number_pack_years_smoked</t>
        </is>
      </c>
      <c r="E1" s="1" t="inlineStr">
        <is>
          <t>age_at_initial_pathologic_diagnosis</t>
        </is>
      </c>
      <c r="F1" s="1" t="inlineStr">
        <is>
          <t>KrasExpression</t>
        </is>
      </c>
      <c r="G1" s="1" t="inlineStr">
        <is>
          <t>TP53Expression</t>
        </is>
      </c>
      <c r="H1" s="1" t="inlineStr">
        <is>
          <t>ALKExpression</t>
        </is>
      </c>
      <c r="I1" s="1" t="inlineStr">
        <is>
          <t>BRAFExpression</t>
        </is>
      </c>
      <c r="J1" s="1" t="inlineStr">
        <is>
          <t>EGFR_Mut_Binary</t>
        </is>
      </c>
    </row>
    <row r="2">
      <c r="A2" t="inlineStr">
        <is>
          <t>CCND2expression</t>
        </is>
      </c>
      <c r="B2" t="inlineStr">
        <is>
          <t>R</t>
        </is>
      </c>
      <c r="C2" t="inlineStr">
        <is>
          <t>1</t>
        </is>
      </c>
      <c r="D2" t="inlineStr">
        <is>
          <t>0.095</t>
        </is>
      </c>
      <c r="E2" t="inlineStr">
        <is>
          <t>0.050</t>
        </is>
      </c>
      <c r="F2" t="inlineStr">
        <is>
          <t>-0.054</t>
        </is>
      </c>
      <c r="G2" t="inlineStr">
        <is>
          <t>0.025</t>
        </is>
      </c>
      <c r="H2" t="inlineStr">
        <is>
          <t>0.016</t>
        </is>
      </c>
      <c r="I2" t="inlineStr">
        <is>
          <t>-0.028</t>
        </is>
      </c>
      <c r="J2" t="inlineStr">
        <is>
          <t>-0.070</t>
        </is>
      </c>
    </row>
    <row r="3">
      <c r="A3" t="inlineStr"/>
      <c r="B3" t="inlineStr">
        <is>
          <t>P-value</t>
        </is>
      </c>
      <c r="C3" t="inlineStr"/>
      <c r="D3" t="inlineStr">
        <is>
          <t>0.082</t>
        </is>
      </c>
      <c r="E3" t="inlineStr">
        <is>
          <t>0.271</t>
        </is>
      </c>
      <c r="F3" t="inlineStr">
        <is>
          <t>0.230</t>
        </is>
      </c>
      <c r="G3" t="inlineStr">
        <is>
          <t>0.582</t>
        </is>
      </c>
      <c r="H3" t="inlineStr">
        <is>
          <t>0.731</t>
        </is>
      </c>
      <c r="I3" t="inlineStr">
        <is>
          <t>0.534</t>
        </is>
      </c>
      <c r="J3" t="inlineStr">
        <is>
          <t>0.312</t>
        </is>
      </c>
    </row>
    <row r="4">
      <c r="A4" t="inlineStr">
        <is>
          <t>number_pack_years_smoked</t>
        </is>
      </c>
      <c r="B4" t="inlineStr">
        <is>
          <t>R</t>
        </is>
      </c>
      <c r="C4" t="inlineStr">
        <is>
          <t>0.095</t>
        </is>
      </c>
      <c r="D4" t="inlineStr">
        <is>
          <t>1</t>
        </is>
      </c>
      <c r="E4" t="inlineStr">
        <is>
          <t>0.074</t>
        </is>
      </c>
      <c r="F4" t="inlineStr">
        <is>
          <t>-0.039</t>
        </is>
      </c>
      <c r="G4" t="inlineStr">
        <is>
          <t>0.046</t>
        </is>
      </c>
      <c r="H4" t="inlineStr">
        <is>
          <t>0.010</t>
        </is>
      </c>
      <c r="I4" t="inlineStr">
        <is>
          <t>-0.016</t>
        </is>
      </c>
      <c r="J4" t="inlineStr">
        <is>
          <t>0.042</t>
        </is>
      </c>
    </row>
    <row r="5">
      <c r="A5" t="inlineStr"/>
      <c r="B5" t="inlineStr">
        <is>
          <t>P-value</t>
        </is>
      </c>
      <c r="C5" t="inlineStr">
        <is>
          <t>0.082</t>
        </is>
      </c>
      <c r="D5" t="inlineStr"/>
      <c r="E5" t="inlineStr">
        <is>
          <t>0.181</t>
        </is>
      </c>
      <c r="F5" t="inlineStr">
        <is>
          <t>0.482</t>
        </is>
      </c>
      <c r="G5" t="inlineStr">
        <is>
          <t>0.408</t>
        </is>
      </c>
      <c r="H5" t="inlineStr">
        <is>
          <t>0.859</t>
        </is>
      </c>
      <c r="I5" t="inlineStr">
        <is>
          <t>0.774</t>
        </is>
      </c>
      <c r="J5" t="inlineStr">
        <is>
          <t>0.611</t>
        </is>
      </c>
    </row>
    <row r="6">
      <c r="A6" t="inlineStr">
        <is>
          <t>age_at_initial_pathologic_diagnosis</t>
        </is>
      </c>
      <c r="B6" t="inlineStr">
        <is>
          <t>R</t>
        </is>
      </c>
      <c r="C6" t="inlineStr">
        <is>
          <t>0.050</t>
        </is>
      </c>
      <c r="D6" t="inlineStr">
        <is>
          <t>0.074</t>
        </is>
      </c>
      <c r="E6" t="inlineStr">
        <is>
          <t>1</t>
        </is>
      </c>
      <c r="F6" t="inlineStr">
        <is>
          <t>-0.022</t>
        </is>
      </c>
      <c r="G6" t="inlineStr">
        <is>
          <t>0.072</t>
        </is>
      </c>
      <c r="H6" t="inlineStr">
        <is>
          <t>-0.048</t>
        </is>
      </c>
      <c r="I6" t="inlineStr">
        <is>
          <t>-0.050</t>
        </is>
      </c>
      <c r="J6" t="inlineStr">
        <is>
          <t>0.012</t>
        </is>
      </c>
    </row>
    <row r="7">
      <c r="A7" t="inlineStr"/>
      <c r="B7" t="inlineStr">
        <is>
          <t>P-value</t>
        </is>
      </c>
      <c r="C7" t="inlineStr">
        <is>
          <t>0.271</t>
        </is>
      </c>
      <c r="D7" t="inlineStr">
        <is>
          <t>0.181</t>
        </is>
      </c>
      <c r="E7" t="inlineStr"/>
      <c r="F7" t="inlineStr">
        <is>
          <t>0.624</t>
        </is>
      </c>
      <c r="G7" t="inlineStr">
        <is>
          <t>0.112</t>
        </is>
      </c>
      <c r="H7" t="inlineStr">
        <is>
          <t>0.291</t>
        </is>
      </c>
      <c r="I7" t="inlineStr">
        <is>
          <t>0.265</t>
        </is>
      </c>
      <c r="J7" t="inlineStr">
        <is>
          <t>0.865</t>
        </is>
      </c>
    </row>
    <row r="8">
      <c r="A8" t="inlineStr">
        <is>
          <t>KrasExpression</t>
        </is>
      </c>
      <c r="B8" t="inlineStr">
        <is>
          <t>R</t>
        </is>
      </c>
      <c r="C8" t="inlineStr">
        <is>
          <t>-0.054</t>
        </is>
      </c>
      <c r="D8" t="inlineStr">
        <is>
          <t>-0.039</t>
        </is>
      </c>
      <c r="E8" t="inlineStr">
        <is>
          <t>-0.022</t>
        </is>
      </c>
      <c r="F8" t="inlineStr">
        <is>
          <t>1</t>
        </is>
      </c>
      <c r="G8" t="inlineStr">
        <is>
          <t>-0.057</t>
        </is>
      </c>
      <c r="H8" t="inlineStr">
        <is>
          <t>-0.004</t>
        </is>
      </c>
      <c r="I8" t="inlineStr">
        <is>
          <t>0.080</t>
        </is>
      </c>
      <c r="J8" t="inlineStr">
        <is>
          <t>-0.102</t>
        </is>
      </c>
    </row>
    <row r="9">
      <c r="A9" t="inlineStr"/>
      <c r="B9" t="inlineStr">
        <is>
          <t>P-value</t>
        </is>
      </c>
      <c r="C9" t="inlineStr">
        <is>
          <t>0.230</t>
        </is>
      </c>
      <c r="D9" t="inlineStr">
        <is>
          <t>0.482</t>
        </is>
      </c>
      <c r="E9" t="inlineStr">
        <is>
          <t>0.624</t>
        </is>
      </c>
      <c r="F9" t="inlineStr"/>
      <c r="G9" t="inlineStr">
        <is>
          <t>0.209</t>
        </is>
      </c>
      <c r="H9" t="inlineStr">
        <is>
          <t>0.934</t>
        </is>
      </c>
      <c r="I9" t="inlineStr">
        <is>
          <t>0.078</t>
        </is>
      </c>
      <c r="J9" t="inlineStr">
        <is>
          <t>0.139</t>
        </is>
      </c>
    </row>
    <row r="10">
      <c r="A10" t="inlineStr">
        <is>
          <t>TP53Expression</t>
        </is>
      </c>
      <c r="B10" t="inlineStr">
        <is>
          <t>R</t>
        </is>
      </c>
      <c r="C10" t="inlineStr">
        <is>
          <t>0.025</t>
        </is>
      </c>
      <c r="D10" t="inlineStr">
        <is>
          <t>0.046</t>
        </is>
      </c>
      <c r="E10" t="inlineStr">
        <is>
          <t>0.072</t>
        </is>
      </c>
      <c r="F10" t="inlineStr">
        <is>
          <t>-0.057</t>
        </is>
      </c>
      <c r="G10" t="inlineStr">
        <is>
          <t>1</t>
        </is>
      </c>
      <c r="H10" t="inlineStr">
        <is>
          <t>0.067</t>
        </is>
      </c>
      <c r="I10" t="inlineStr">
        <is>
          <t>-0.003</t>
        </is>
      </c>
      <c r="J10" t="inlineStr">
        <is>
          <t>0.008</t>
        </is>
      </c>
    </row>
    <row r="11">
      <c r="A11" t="inlineStr"/>
      <c r="B11" t="inlineStr">
        <is>
          <t>P-value</t>
        </is>
      </c>
      <c r="C11" t="inlineStr">
        <is>
          <t>0.582</t>
        </is>
      </c>
      <c r="D11" t="inlineStr">
        <is>
          <t>0.408</t>
        </is>
      </c>
      <c r="E11" t="inlineStr">
        <is>
          <t>0.112</t>
        </is>
      </c>
      <c r="F11" t="inlineStr">
        <is>
          <t>0.209</t>
        </is>
      </c>
      <c r="G11" t="inlineStr"/>
      <c r="H11" t="inlineStr">
        <is>
          <t>0.139</t>
        </is>
      </c>
      <c r="I11" t="inlineStr">
        <is>
          <t>0.940</t>
        </is>
      </c>
      <c r="J11" t="inlineStr">
        <is>
          <t>0.904</t>
        </is>
      </c>
    </row>
    <row r="12">
      <c r="A12" t="inlineStr">
        <is>
          <t>ALKExpression</t>
        </is>
      </c>
      <c r="B12" t="inlineStr">
        <is>
          <t>R</t>
        </is>
      </c>
      <c r="C12" t="inlineStr">
        <is>
          <t>0.016</t>
        </is>
      </c>
      <c r="D12" t="inlineStr">
        <is>
          <t>0.010</t>
        </is>
      </c>
      <c r="E12" t="inlineStr">
        <is>
          <t>-0.048</t>
        </is>
      </c>
      <c r="F12" t="inlineStr">
        <is>
          <t>-0.004</t>
        </is>
      </c>
      <c r="G12" t="inlineStr">
        <is>
          <t>0.067</t>
        </is>
      </c>
      <c r="H12" t="inlineStr">
        <is>
          <t>1</t>
        </is>
      </c>
      <c r="I12" t="inlineStr">
        <is>
          <t>-0.040</t>
        </is>
      </c>
      <c r="J12" t="inlineStr">
        <is>
          <t>-0.050</t>
        </is>
      </c>
    </row>
    <row r="13">
      <c r="A13" t="inlineStr"/>
      <c r="B13" t="inlineStr">
        <is>
          <t>P-value</t>
        </is>
      </c>
      <c r="C13" t="inlineStr">
        <is>
          <t>0.731</t>
        </is>
      </c>
      <c r="D13" t="inlineStr">
        <is>
          <t>0.859</t>
        </is>
      </c>
      <c r="E13" t="inlineStr">
        <is>
          <t>0.291</t>
        </is>
      </c>
      <c r="F13" t="inlineStr">
        <is>
          <t>0.934</t>
        </is>
      </c>
      <c r="G13" t="inlineStr">
        <is>
          <t>0.139</t>
        </is>
      </c>
      <c r="H13" t="inlineStr"/>
      <c r="I13" t="inlineStr">
        <is>
          <t>0.372</t>
        </is>
      </c>
      <c r="J13" t="inlineStr">
        <is>
          <t>0.469</t>
        </is>
      </c>
    </row>
    <row r="14">
      <c r="A14" t="inlineStr">
        <is>
          <t>BRAFExpression</t>
        </is>
      </c>
      <c r="B14" t="inlineStr">
        <is>
          <t>R</t>
        </is>
      </c>
      <c r="C14" t="inlineStr">
        <is>
          <t>-0.028</t>
        </is>
      </c>
      <c r="D14" t="inlineStr">
        <is>
          <t>-0.016</t>
        </is>
      </c>
      <c r="E14" t="inlineStr">
        <is>
          <t>-0.050</t>
        </is>
      </c>
      <c r="F14" t="inlineStr">
        <is>
          <t>0.080</t>
        </is>
      </c>
      <c r="G14" t="inlineStr">
        <is>
          <t>-0.003</t>
        </is>
      </c>
      <c r="H14" t="inlineStr">
        <is>
          <t>-0.040</t>
        </is>
      </c>
      <c r="I14" t="inlineStr">
        <is>
          <t>1</t>
        </is>
      </c>
      <c r="J14" t="inlineStr">
        <is>
          <t>0.107</t>
        </is>
      </c>
    </row>
    <row r="15">
      <c r="A15" t="inlineStr"/>
      <c r="B15" t="inlineStr">
        <is>
          <t>P-value</t>
        </is>
      </c>
      <c r="C15" t="inlineStr">
        <is>
          <t>0.534</t>
        </is>
      </c>
      <c r="D15" t="inlineStr">
        <is>
          <t>0.774</t>
        </is>
      </c>
      <c r="E15" t="inlineStr">
        <is>
          <t>0.265</t>
        </is>
      </c>
      <c r="F15" t="inlineStr">
        <is>
          <t>0.078</t>
        </is>
      </c>
      <c r="G15" t="inlineStr">
        <is>
          <t>0.940</t>
        </is>
      </c>
      <c r="H15" t="inlineStr">
        <is>
          <t>0.372</t>
        </is>
      </c>
      <c r="I15" t="inlineStr"/>
      <c r="J15" t="inlineStr">
        <is>
          <t>0.122</t>
        </is>
      </c>
    </row>
    <row r="16">
      <c r="A16" t="inlineStr">
        <is>
          <t>EGFR_Mut_Binary</t>
        </is>
      </c>
      <c r="B16" t="inlineStr">
        <is>
          <t>R</t>
        </is>
      </c>
      <c r="C16" t="inlineStr">
        <is>
          <t>-0.070</t>
        </is>
      </c>
      <c r="D16" t="inlineStr">
        <is>
          <t>0.042</t>
        </is>
      </c>
      <c r="E16" t="inlineStr">
        <is>
          <t>0.012</t>
        </is>
      </c>
      <c r="F16" t="inlineStr">
        <is>
          <t>-0.102</t>
        </is>
      </c>
      <c r="G16" t="inlineStr">
        <is>
          <t>0.008</t>
        </is>
      </c>
      <c r="H16" t="inlineStr">
        <is>
          <t>-0.050</t>
        </is>
      </c>
      <c r="I16" t="inlineStr">
        <is>
          <t>0.107</t>
        </is>
      </c>
      <c r="J16" t="inlineStr">
        <is>
          <t>1</t>
        </is>
      </c>
    </row>
    <row r="17">
      <c r="A17" t="inlineStr"/>
      <c r="B17" t="inlineStr">
        <is>
          <t>P-value</t>
        </is>
      </c>
      <c r="C17" t="inlineStr">
        <is>
          <t>0.312</t>
        </is>
      </c>
      <c r="D17" t="inlineStr">
        <is>
          <t>0.611</t>
        </is>
      </c>
      <c r="E17" t="inlineStr">
        <is>
          <t>0.865</t>
        </is>
      </c>
      <c r="F17" t="inlineStr">
        <is>
          <t>0.139</t>
        </is>
      </c>
      <c r="G17" t="inlineStr">
        <is>
          <t>0.904</t>
        </is>
      </c>
      <c r="H17" t="inlineStr">
        <is>
          <t>0.469</t>
        </is>
      </c>
      <c r="I17" t="inlineStr">
        <is>
          <t>0.122</t>
        </is>
      </c>
      <c r="J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 t="inlineStr">
        <is>
          <t>age_at_initial_pathologic_diagnosis</t>
        </is>
      </c>
      <c r="B2" t="n">
        <v>1.012</v>
      </c>
      <c r="C2" t="n">
        <v>0.992</v>
      </c>
      <c r="D2" t="n">
        <v>1.032</v>
      </c>
      <c r="E2" t="inlineStr">
        <is>
          <t>0.254</t>
        </is>
      </c>
    </row>
    <row r="3">
      <c r="A3" t="inlineStr">
        <is>
          <t>number_pack_years_smoked</t>
        </is>
      </c>
      <c r="B3" t="n">
        <v>1</v>
      </c>
      <c r="C3" t="n">
        <v>0.992</v>
      </c>
      <c r="D3" t="n">
        <v>1.007</v>
      </c>
      <c r="E3" t="inlineStr">
        <is>
          <t>0.969</t>
        </is>
      </c>
    </row>
    <row r="4">
      <c r="A4" t="inlineStr">
        <is>
          <t>KrasExpression</t>
        </is>
      </c>
      <c r="B4" t="n">
        <v>1</v>
      </c>
      <c r="C4" t="n">
        <v>1</v>
      </c>
      <c r="D4" t="n">
        <v>1</v>
      </c>
      <c r="E4" t="inlineStr">
        <is>
          <t>0.060</t>
        </is>
      </c>
    </row>
    <row r="5">
      <c r="A5" t="inlineStr">
        <is>
          <t>TP53Expression</t>
        </is>
      </c>
      <c r="B5" t="n">
        <v>1</v>
      </c>
      <c r="C5" t="n">
        <v>1</v>
      </c>
      <c r="D5" t="n">
        <v>1</v>
      </c>
      <c r="E5" t="inlineStr">
        <is>
          <t>0.559</t>
        </is>
      </c>
    </row>
    <row r="6">
      <c r="A6" t="inlineStr">
        <is>
          <t>ALKExpression</t>
        </is>
      </c>
      <c r="B6" t="n">
        <v>0.994</v>
      </c>
      <c r="C6" t="n">
        <v>0.984</v>
      </c>
      <c r="D6" t="n">
        <v>1.004</v>
      </c>
      <c r="E6" t="inlineStr">
        <is>
          <t>0.228</t>
        </is>
      </c>
    </row>
    <row r="7">
      <c r="A7" t="inlineStr">
        <is>
          <t>BRAFExpression</t>
        </is>
      </c>
      <c r="B7" t="n">
        <v>0.998</v>
      </c>
      <c r="C7" t="n">
        <v>0.996</v>
      </c>
      <c r="D7" t="n">
        <v>1.001</v>
      </c>
      <c r="E7" t="inlineStr">
        <is>
          <t>0.166</t>
        </is>
      </c>
    </row>
    <row r="8">
      <c r="A8" t="inlineStr">
        <is>
          <t>CCND2group_Low</t>
        </is>
      </c>
      <c r="B8" t="n">
        <v>1.219</v>
      </c>
      <c r="C8" t="n">
        <v>0.831</v>
      </c>
      <c r="D8" t="n">
        <v>1.789</v>
      </c>
      <c r="E8" t="inlineStr">
        <is>
          <t>0.312</t>
        </is>
      </c>
    </row>
    <row r="9">
      <c r="A9" t="inlineStr">
        <is>
          <t>gender_MALE</t>
        </is>
      </c>
      <c r="B9" t="n">
        <v>1.245</v>
      </c>
      <c r="C9" t="n">
        <v>0.837</v>
      </c>
      <c r="D9" t="n">
        <v>1.852</v>
      </c>
      <c r="E9" t="inlineStr">
        <is>
          <t>0.279</t>
        </is>
      </c>
    </row>
    <row r="10">
      <c r="A10" t="inlineStr">
        <is>
          <t>pathologic_stage_2.0</t>
        </is>
      </c>
      <c r="B10" t="n">
        <v>2.075</v>
      </c>
      <c r="C10" t="n">
        <v>1.299</v>
      </c>
      <c r="D10" t="n">
        <v>3.315</v>
      </c>
      <c r="E10" t="inlineStr">
        <is>
          <t>0.002</t>
        </is>
      </c>
    </row>
    <row r="11">
      <c r="A11" t="inlineStr">
        <is>
          <t>pathologic_stage_3.0</t>
        </is>
      </c>
      <c r="B11" t="n">
        <v>2.805</v>
      </c>
      <c r="C11" t="n">
        <v>1.744</v>
      </c>
      <c r="D11" t="n">
        <v>4.512</v>
      </c>
      <c r="E11" t="inlineStr">
        <is>
          <t>&lt;0.001</t>
        </is>
      </c>
    </row>
    <row r="12">
      <c r="A12" t="inlineStr">
        <is>
          <t>pathologic_stage_4.0</t>
        </is>
      </c>
      <c r="B12" t="n">
        <v>2.395</v>
      </c>
      <c r="C12" t="n">
        <v>1.166</v>
      </c>
      <c r="D12" t="n">
        <v>4.918</v>
      </c>
      <c r="E12" t="inlineStr">
        <is>
          <t>0.017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>
        <f>== [ Model: Pathologic Stage ] ===</f>
        <v/>
      </c>
      <c r="B2" t="inlineStr"/>
      <c r="C2" t="inlineStr"/>
      <c r="D2" t="inlineStr"/>
      <c r="E2" t="inlineStr"/>
    </row>
    <row r="3">
      <c r="A3" t="inlineStr">
        <is>
          <t>Dependent Variable (Y)</t>
        </is>
      </c>
      <c r="B3" t="inlineStr">
        <is>
          <t>CCND2expression</t>
        </is>
      </c>
      <c r="C3" t="inlineStr"/>
      <c r="D3" t="inlineStr"/>
      <c r="E3" t="inlineStr"/>
    </row>
    <row r="4">
      <c r="A4" t="inlineStr">
        <is>
          <t>Model Formula</t>
        </is>
      </c>
      <c r="B4" t="inlineStr">
        <is>
          <t>CCND2expression ~ age_at_initial_pathologic_diagnosis + C(gender) + number_pack_years_smoked + C(pathologic_stage)</t>
        </is>
      </c>
      <c r="C4" t="inlineStr"/>
      <c r="D4" t="inlineStr"/>
      <c r="E4" t="inlineStr"/>
    </row>
    <row r="5">
      <c r="A5" t="inlineStr">
        <is>
          <t>R-squared</t>
        </is>
      </c>
      <c r="B5" t="inlineStr">
        <is>
          <t>0.0285</t>
        </is>
      </c>
      <c r="C5" t="inlineStr"/>
      <c r="D5" t="inlineStr"/>
      <c r="E5" t="inlineStr"/>
    </row>
    <row r="6">
      <c r="A6" t="inlineStr">
        <is>
          <t>Prob (F-statistic)</t>
        </is>
      </c>
      <c r="B6" t="inlineStr">
        <is>
          <t>1.5291e-01</t>
        </is>
      </c>
      <c r="C6" t="inlineStr"/>
      <c r="D6" t="inlineStr"/>
      <c r="E6" t="inlineStr"/>
    </row>
    <row r="7">
      <c r="A7" t="inlineStr">
        <is>
          <t>--- [ Coefficients ] ---</t>
        </is>
      </c>
      <c r="B7" t="inlineStr"/>
      <c r="C7" t="inlineStr"/>
      <c r="D7" t="inlineStr"/>
      <c r="E7" t="inlineStr"/>
    </row>
    <row r="8">
      <c r="A8" t="inlineStr">
        <is>
          <t>Intercept</t>
        </is>
      </c>
      <c r="B8" t="n">
        <v>521.8131</v>
      </c>
      <c r="C8" t="n">
        <v>-184.7149</v>
      </c>
      <c r="D8" t="n">
        <v>1228.3411</v>
      </c>
      <c r="E8" t="inlineStr">
        <is>
          <t>0.147</t>
        </is>
      </c>
    </row>
    <row r="9">
      <c r="A9" t="inlineStr">
        <is>
          <t>C(gender)[T.MALE]</t>
        </is>
      </c>
      <c r="B9" t="n">
        <v>92.97069999999999</v>
      </c>
      <c r="C9" t="n">
        <v>-122.1778</v>
      </c>
      <c r="D9" t="n">
        <v>308.1193</v>
      </c>
      <c r="E9" t="inlineStr">
        <is>
          <t>0.396</t>
        </is>
      </c>
    </row>
    <row r="10">
      <c r="A10" t="inlineStr">
        <is>
          <t>C(pathologic_stage)[T.2.0]</t>
        </is>
      </c>
      <c r="B10" t="n">
        <v>-226.5472</v>
      </c>
      <c r="C10" t="n">
        <v>-485.0751</v>
      </c>
      <c r="D10" t="n">
        <v>31.9806</v>
      </c>
      <c r="E10" t="inlineStr">
        <is>
          <t>0.086</t>
        </is>
      </c>
    </row>
    <row r="11">
      <c r="A11" t="inlineStr">
        <is>
          <t>C(pathologic_stage)[T.3.0]</t>
        </is>
      </c>
      <c r="B11" t="n">
        <v>-114.1819</v>
      </c>
      <c r="C11" t="n">
        <v>-402.3303</v>
      </c>
      <c r="D11" t="n">
        <v>173.9665</v>
      </c>
      <c r="E11" t="inlineStr">
        <is>
          <t>0.436</t>
        </is>
      </c>
    </row>
    <row r="12">
      <c r="A12" t="inlineStr">
        <is>
          <t>C(pathologic_stage)[T.4.0]</t>
        </is>
      </c>
      <c r="B12" t="n">
        <v>-421.0818</v>
      </c>
      <c r="C12" t="n">
        <v>-901.4507</v>
      </c>
      <c r="D12" t="n">
        <v>59.2872</v>
      </c>
      <c r="E12" t="inlineStr">
        <is>
          <t>0.086</t>
        </is>
      </c>
    </row>
    <row r="13">
      <c r="A13" t="inlineStr">
        <is>
          <t>age_at_initial_pathologic_diagnosis</t>
        </is>
      </c>
      <c r="B13" t="n">
        <v>4.4765</v>
      </c>
      <c r="C13" t="n">
        <v>-5.9623</v>
      </c>
      <c r="D13" t="n">
        <v>14.9152</v>
      </c>
      <c r="E13" t="inlineStr">
        <is>
          <t>0.399</t>
        </is>
      </c>
    </row>
    <row r="14">
      <c r="A14" t="inlineStr">
        <is>
          <t>number_pack_years_smoked</t>
        </is>
      </c>
      <c r="B14" t="n">
        <v>2.6189</v>
      </c>
      <c r="C14" t="n">
        <v>-1.276</v>
      </c>
      <c r="D14" t="n">
        <v>6.5139</v>
      </c>
      <c r="E14" t="inlineStr">
        <is>
          <t>0.187</t>
        </is>
      </c>
    </row>
    <row r="15">
      <c r="A15" t="inlineStr"/>
      <c r="B15" t="inlineStr"/>
      <c r="C15" t="inlineStr"/>
      <c r="D15" t="inlineStr"/>
      <c r="E15" t="inlineStr"/>
    </row>
    <row r="16">
      <c r="A16">
        <f>== [ Model: Pathologic T ] ===</f>
        <v/>
      </c>
      <c r="B16" t="inlineStr"/>
      <c r="C16" t="inlineStr"/>
      <c r="D16" t="inlineStr"/>
      <c r="E16" t="inlineStr"/>
    </row>
    <row r="17">
      <c r="A17" t="inlineStr">
        <is>
          <t>Dependent Variable (Y)</t>
        </is>
      </c>
      <c r="B17" t="inlineStr">
        <is>
          <t>CCND2expression</t>
        </is>
      </c>
      <c r="C17" t="inlineStr"/>
      <c r="D17" t="inlineStr"/>
      <c r="E17" t="inlineStr"/>
    </row>
    <row r="18">
      <c r="A18" t="inlineStr">
        <is>
          <t>Model Formula</t>
        </is>
      </c>
      <c r="B18" t="inlineStr">
        <is>
          <t>CCND2expression ~ age_at_initial_pathologic_diagnosis + C(gender) + number_pack_years_smoked + C(pathologic_T)</t>
        </is>
      </c>
      <c r="C18" t="inlineStr"/>
      <c r="D18" t="inlineStr"/>
      <c r="E18" t="inlineStr"/>
    </row>
    <row r="19">
      <c r="A19" t="inlineStr">
        <is>
          <t>R-squared</t>
        </is>
      </c>
      <c r="B19" t="inlineStr">
        <is>
          <t>0.0197</t>
        </is>
      </c>
      <c r="C19" t="inlineStr"/>
      <c r="D19" t="inlineStr"/>
      <c r="E19" t="inlineStr"/>
    </row>
    <row r="20">
      <c r="A20" t="inlineStr">
        <is>
          <t>Prob (F-statistic)</t>
        </is>
      </c>
      <c r="B20" t="inlineStr">
        <is>
          <t>3.6545e-01</t>
        </is>
      </c>
      <c r="C20" t="inlineStr"/>
      <c r="D20" t="inlineStr"/>
      <c r="E20" t="inlineStr"/>
    </row>
    <row r="21">
      <c r="A21" t="inlineStr">
        <is>
          <t>--- [ Coefficients ] ---</t>
        </is>
      </c>
      <c r="B21" t="inlineStr"/>
      <c r="C21" t="inlineStr"/>
      <c r="D21" t="inlineStr"/>
      <c r="E21" t="inlineStr"/>
    </row>
    <row r="22">
      <c r="A22" t="inlineStr">
        <is>
          <t>Intercept</t>
        </is>
      </c>
      <c r="B22" t="n">
        <v>475.9465</v>
      </c>
      <c r="C22" t="n">
        <v>-232.0568</v>
      </c>
      <c r="D22" t="n">
        <v>1183.9498</v>
      </c>
      <c r="E22" t="inlineStr">
        <is>
          <t>0.187</t>
        </is>
      </c>
    </row>
    <row r="23">
      <c r="A23" t="inlineStr">
        <is>
          <t>C(gender)[T.MALE]</t>
        </is>
      </c>
      <c r="B23" t="n">
        <v>87.0748</v>
      </c>
      <c r="C23" t="n">
        <v>-129.9836</v>
      </c>
      <c r="D23" t="n">
        <v>304.1332</v>
      </c>
      <c r="E23" t="inlineStr">
        <is>
          <t>0.431</t>
        </is>
      </c>
    </row>
    <row r="24">
      <c r="A24" t="inlineStr">
        <is>
          <t>C(pathologic_T)[T.2.0]</t>
        </is>
      </c>
      <c r="B24" t="n">
        <v>-160.3841</v>
      </c>
      <c r="C24" t="n">
        <v>-391.879</v>
      </c>
      <c r="D24" t="n">
        <v>71.1108</v>
      </c>
      <c r="E24" t="inlineStr">
        <is>
          <t>0.174</t>
        </is>
      </c>
    </row>
    <row r="25">
      <c r="A25" t="inlineStr">
        <is>
          <t>C(pathologic_T)[T.3.0]</t>
        </is>
      </c>
      <c r="B25" t="n">
        <v>-152.2024</v>
      </c>
      <c r="C25" t="n">
        <v>-542.6541999999999</v>
      </c>
      <c r="D25" t="n">
        <v>238.2494</v>
      </c>
      <c r="E25" t="inlineStr">
        <is>
          <t>0.444</t>
        </is>
      </c>
    </row>
    <row r="26">
      <c r="A26" t="inlineStr">
        <is>
          <t>C(pathologic_T)[T.4.0]</t>
        </is>
      </c>
      <c r="B26" t="n">
        <v>49.5925</v>
      </c>
      <c r="C26" t="n">
        <v>-502.3406</v>
      </c>
      <c r="D26" t="n">
        <v>601.5256000000001</v>
      </c>
      <c r="E26" t="inlineStr">
        <is>
          <t>0.860</t>
        </is>
      </c>
    </row>
    <row r="27">
      <c r="A27" t="inlineStr">
        <is>
          <t>age_at_initial_pathologic_diagnosis</t>
        </is>
      </c>
      <c r="B27" t="n">
        <v>5.1813</v>
      </c>
      <c r="C27" t="n">
        <v>-5.1486</v>
      </c>
      <c r="D27" t="n">
        <v>15.5111</v>
      </c>
      <c r="E27" t="inlineStr">
        <is>
          <t>0.324</t>
        </is>
      </c>
    </row>
    <row r="28">
      <c r="A28" t="inlineStr">
        <is>
          <t>number_pack_years_smoked</t>
        </is>
      </c>
      <c r="B28" t="n">
        <v>2.6821</v>
      </c>
      <c r="C28" t="n">
        <v>-1.2065</v>
      </c>
      <c r="D28" t="n">
        <v>6.5706</v>
      </c>
      <c r="E28" t="inlineStr">
        <is>
          <t>0.176</t>
        </is>
      </c>
    </row>
    <row r="29">
      <c r="A29" t="inlineStr"/>
      <c r="B29" t="inlineStr"/>
      <c r="C29" t="inlineStr"/>
      <c r="D29" t="inlineStr"/>
      <c r="E29" t="inlineStr"/>
    </row>
    <row r="30">
      <c r="A30">
        <f>== [ Model: Pathologic N ] ===</f>
        <v/>
      </c>
      <c r="B30" t="inlineStr"/>
      <c r="C30" t="inlineStr"/>
      <c r="D30" t="inlineStr"/>
      <c r="E30" t="inlineStr"/>
    </row>
    <row r="31">
      <c r="A31" t="inlineStr">
        <is>
          <t>Dependent Variable (Y)</t>
        </is>
      </c>
      <c r="B31" t="inlineStr">
        <is>
          <t>CCND2expression</t>
        </is>
      </c>
      <c r="C31" t="inlineStr"/>
      <c r="D31" t="inlineStr"/>
      <c r="E31" t="inlineStr"/>
    </row>
    <row r="32">
      <c r="A32" t="inlineStr">
        <is>
          <t>Model Formula</t>
        </is>
      </c>
      <c r="B32" t="inlineStr">
        <is>
          <t>CCND2expression ~ age_at_initial_pathologic_diagnosis + C(gender) + number_pack_years_smoked + C(pathologic_N)</t>
        </is>
      </c>
      <c r="C32" t="inlineStr"/>
      <c r="D32" t="inlineStr"/>
      <c r="E32" t="inlineStr"/>
    </row>
    <row r="33">
      <c r="A33" t="inlineStr">
        <is>
          <t>R-squared</t>
        </is>
      </c>
      <c r="B33" t="inlineStr">
        <is>
          <t>0.0276</t>
        </is>
      </c>
      <c r="C33" t="inlineStr"/>
      <c r="D33" t="inlineStr"/>
      <c r="E33" t="inlineStr"/>
    </row>
    <row r="34">
      <c r="A34" t="inlineStr">
        <is>
          <t>Prob (F-statistic)</t>
        </is>
      </c>
      <c r="B34" t="inlineStr">
        <is>
          <t>1.7132e-01</t>
        </is>
      </c>
      <c r="C34" t="inlineStr"/>
      <c r="D34" t="inlineStr"/>
      <c r="E34" t="inlineStr"/>
    </row>
    <row r="35">
      <c r="A35" t="inlineStr">
        <is>
          <t>--- [ Coefficients ] ---</t>
        </is>
      </c>
      <c r="B35" t="inlineStr"/>
      <c r="C35" t="inlineStr"/>
      <c r="D35" t="inlineStr"/>
      <c r="E35" t="inlineStr"/>
    </row>
    <row r="36">
      <c r="A36" t="inlineStr">
        <is>
          <t>Intercept</t>
        </is>
      </c>
      <c r="B36" t="n">
        <v>449.3957</v>
      </c>
      <c r="C36" t="n">
        <v>-252.4298</v>
      </c>
      <c r="D36" t="n">
        <v>1151.2212</v>
      </c>
      <c r="E36" t="inlineStr">
        <is>
          <t>0.209</t>
        </is>
      </c>
    </row>
    <row r="37">
      <c r="A37" t="inlineStr">
        <is>
          <t>C(gender)[T.MALE]</t>
        </is>
      </c>
      <c r="B37" t="n">
        <v>98.1469</v>
      </c>
      <c r="C37" t="n">
        <v>-116.0249</v>
      </c>
      <c r="D37" t="n">
        <v>312.3187</v>
      </c>
      <c r="E37" t="inlineStr">
        <is>
          <t>0.368</t>
        </is>
      </c>
    </row>
    <row r="38">
      <c r="A38" t="inlineStr">
        <is>
          <t>C(pathologic_N)[T.1.0]</t>
        </is>
      </c>
      <c r="B38" t="n">
        <v>-226.1691</v>
      </c>
      <c r="C38" t="n">
        <v>-496.5788</v>
      </c>
      <c r="D38" t="n">
        <v>44.2406</v>
      </c>
      <c r="E38" t="inlineStr">
        <is>
          <t>0.101</t>
        </is>
      </c>
    </row>
    <row r="39">
      <c r="A39" t="inlineStr">
        <is>
          <t>C(pathologic_N)[T.2.0]</t>
        </is>
      </c>
      <c r="B39" t="n">
        <v>-213.9506</v>
      </c>
      <c r="C39" t="n">
        <v>-516.4965999999999</v>
      </c>
      <c r="D39" t="n">
        <v>88.59529999999999</v>
      </c>
      <c r="E39" t="inlineStr">
        <is>
          <t>0.165</t>
        </is>
      </c>
    </row>
    <row r="40">
      <c r="A40" t="inlineStr">
        <is>
          <t>C(pathologic_N)[T.3.0]</t>
        </is>
      </c>
      <c r="B40" t="n">
        <v>-203.1216</v>
      </c>
      <c r="C40" t="n">
        <v>-1538.5022</v>
      </c>
      <c r="D40" t="n">
        <v>1132.259</v>
      </c>
      <c r="E40" t="inlineStr">
        <is>
          <t>0.765</t>
        </is>
      </c>
    </row>
    <row r="41">
      <c r="A41" t="inlineStr">
        <is>
          <t>age_at_initial_pathologic_diagnosis</t>
        </is>
      </c>
      <c r="B41" t="n">
        <v>4.8829</v>
      </c>
      <c r="C41" t="n">
        <v>-5.5654</v>
      </c>
      <c r="D41" t="n">
        <v>15.3313</v>
      </c>
      <c r="E41" t="inlineStr">
        <is>
          <t>0.359</t>
        </is>
      </c>
    </row>
    <row r="42">
      <c r="A42" t="inlineStr">
        <is>
          <t>number_pack_years_smoked</t>
        </is>
      </c>
      <c r="B42" t="n">
        <v>2.9145</v>
      </c>
      <c r="C42" t="n">
        <v>-0.9766</v>
      </c>
      <c r="D42" t="n">
        <v>6.8057</v>
      </c>
      <c r="E42" t="inlineStr">
        <is>
          <t>0.142</t>
        </is>
      </c>
    </row>
    <row r="43">
      <c r="A43" t="inlineStr"/>
      <c r="B43" t="inlineStr"/>
      <c r="C43" t="inlineStr"/>
      <c r="D43" t="inlineStr"/>
      <c r="E43" t="inlineStr"/>
    </row>
    <row r="44">
      <c r="A44">
        <f>== [ Model: Pathologic M ] ===</f>
        <v/>
      </c>
      <c r="B44" t="inlineStr"/>
      <c r="C44" t="inlineStr"/>
      <c r="D44" t="inlineStr"/>
      <c r="E44" t="inlineStr"/>
    </row>
    <row r="45">
      <c r="A45" t="inlineStr">
        <is>
          <t>Dependent Variable (Y)</t>
        </is>
      </c>
      <c r="B45" t="inlineStr">
        <is>
          <t>CCND2expression</t>
        </is>
      </c>
      <c r="C45" t="inlineStr"/>
      <c r="D45" t="inlineStr"/>
      <c r="E45" t="inlineStr"/>
    </row>
    <row r="46">
      <c r="A46" t="inlineStr">
        <is>
          <t>Model Formula</t>
        </is>
      </c>
      <c r="B46" t="inlineStr">
        <is>
          <t>CCND2expression ~ age_at_initial_pathologic_diagnosis + C(gender) + number_pack_years_smoked + C(pathologic_M)</t>
        </is>
      </c>
      <c r="C46" t="inlineStr"/>
      <c r="D46" t="inlineStr"/>
      <c r="E46" t="inlineStr"/>
    </row>
    <row r="47">
      <c r="A47" t="inlineStr">
        <is>
          <t>R-squared</t>
        </is>
      </c>
      <c r="B47" t="inlineStr">
        <is>
          <t>0.0309</t>
        </is>
      </c>
      <c r="C47" t="inlineStr"/>
      <c r="D47" t="inlineStr"/>
      <c r="E47" t="inlineStr"/>
    </row>
    <row r="48">
      <c r="A48" t="inlineStr">
        <is>
          <t>Prob (F-statistic)</t>
        </is>
      </c>
      <c r="B48" t="inlineStr">
        <is>
          <t>1.2141e-01</t>
        </is>
      </c>
      <c r="C48" t="inlineStr"/>
      <c r="D48" t="inlineStr"/>
      <c r="E48" t="inlineStr"/>
    </row>
    <row r="49">
      <c r="A49" t="inlineStr">
        <is>
          <t>--- [ Coefficients ] ---</t>
        </is>
      </c>
      <c r="B49" t="inlineStr"/>
      <c r="C49" t="inlineStr"/>
      <c r="D49" t="inlineStr"/>
      <c r="E49" t="inlineStr"/>
    </row>
    <row r="50">
      <c r="A50" t="inlineStr">
        <is>
          <t>Intercept</t>
        </is>
      </c>
      <c r="B50" t="n">
        <v>329.2428</v>
      </c>
      <c r="C50" t="n">
        <v>-583.3558</v>
      </c>
      <c r="D50" t="n">
        <v>1241.8414</v>
      </c>
      <c r="E50" t="inlineStr">
        <is>
          <t>0.478</t>
        </is>
      </c>
    </row>
    <row r="51">
      <c r="A51" t="inlineStr">
        <is>
          <t>C(gender)[T.MALE]</t>
        </is>
      </c>
      <c r="B51" t="n">
        <v>73.5917</v>
      </c>
      <c r="C51" t="n">
        <v>-209.3312</v>
      </c>
      <c r="D51" t="n">
        <v>356.5147</v>
      </c>
      <c r="E51" t="inlineStr">
        <is>
          <t>0.609</t>
        </is>
      </c>
    </row>
    <row r="52">
      <c r="A52" t="inlineStr">
        <is>
          <t>C(pathologic_M)[T.1.0]</t>
        </is>
      </c>
      <c r="B52" t="n">
        <v>-375.0837</v>
      </c>
      <c r="C52" t="n">
        <v>-912.5046</v>
      </c>
      <c r="D52" t="n">
        <v>162.3371</v>
      </c>
      <c r="E52" t="inlineStr">
        <is>
          <t>0.170</t>
        </is>
      </c>
    </row>
    <row r="53">
      <c r="A53" t="inlineStr">
        <is>
          <t>age_at_initial_pathologic_diagnosis</t>
        </is>
      </c>
      <c r="B53" t="n">
        <v>5.0949</v>
      </c>
      <c r="C53" t="n">
        <v>-8.653</v>
      </c>
      <c r="D53" t="n">
        <v>18.8428</v>
      </c>
      <c r="E53" t="inlineStr">
        <is>
          <t>0.466</t>
        </is>
      </c>
    </row>
    <row r="54">
      <c r="A54" t="inlineStr">
        <is>
          <t>number_pack_years_smoked</t>
        </is>
      </c>
      <c r="B54" t="n">
        <v>5.1518</v>
      </c>
      <c r="C54" t="n">
        <v>-0.0559</v>
      </c>
      <c r="D54" t="n">
        <v>10.3596</v>
      </c>
      <c r="E54" t="inlineStr">
        <is>
          <t>0.052</t>
        </is>
      </c>
    </row>
    <row r="55">
      <c r="A55" t="inlineStr"/>
      <c r="B55" t="inlineStr"/>
      <c r="C55" t="inlineStr"/>
      <c r="D55" t="inlineStr"/>
      <c r="E5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Survival Type</t>
        </is>
      </c>
      <c r="B1" s="1" t="inlineStr">
        <is>
          <t>Cancer Type</t>
        </is>
      </c>
      <c r="C1" s="1" t="inlineStr">
        <is>
          <t>Target</t>
        </is>
      </c>
      <c r="D1" s="1" t="inlineStr">
        <is>
          <t>Chi-square</t>
        </is>
      </c>
      <c r="E1" s="1" t="inlineStr">
        <is>
          <t>P-value</t>
        </is>
      </c>
    </row>
    <row r="2">
      <c r="A2" t="inlineStr">
        <is>
          <t>Overall Survival (OS)</t>
        </is>
      </c>
      <c r="B2" t="inlineStr">
        <is>
          <t>LUAD</t>
        </is>
      </c>
      <c r="C2" t="inlineStr">
        <is>
          <t>CCND2</t>
        </is>
      </c>
      <c r="D2" t="inlineStr">
        <is>
          <t>4.181</t>
        </is>
      </c>
      <c r="E2" t="inlineStr">
        <is>
          <t>0.041</t>
        </is>
      </c>
    </row>
    <row r="3">
      <c r="A3" t="inlineStr">
        <is>
          <t>Relapse-Free Survival (RFS)</t>
        </is>
      </c>
      <c r="B3" t="inlineStr">
        <is>
          <t>LUAD</t>
        </is>
      </c>
      <c r="C3" t="inlineStr">
        <is>
          <t>CCND2</t>
        </is>
      </c>
      <c r="D3" t="inlineStr">
        <is>
          <t>1.407</t>
        </is>
      </c>
      <c r="E3" t="inlineStr">
        <is>
          <t>0.236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2026-06-27T10:03:26Z</dcterms:created>
  <dcterms:modified xsi:type="dcterms:W3CDTF">2026-06-27T10:03:26Z</dcterms:modified>
</cp:coreProperties>
</file>
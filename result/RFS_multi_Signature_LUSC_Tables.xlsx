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89</v>
      </c>
      <c r="C3" t="n">
        <v>100</v>
      </c>
      <c r="D3" t="inlineStr">
        <is>
          <t>0.317</t>
        </is>
      </c>
    </row>
    <row r="4">
      <c r="A4" t="inlineStr">
        <is>
          <t xml:space="preserve">  1.0</t>
        </is>
      </c>
      <c r="B4" t="n">
        <v>156</v>
      </c>
      <c r="C4" t="n">
        <v>143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0</v>
      </c>
      <c r="C6" t="n">
        <v>1</v>
      </c>
      <c r="D6" t="inlineStr">
        <is>
          <t>0.448</t>
        </is>
      </c>
    </row>
    <row r="7">
      <c r="A7" t="inlineStr">
        <is>
          <t xml:space="preserve">  FEMALE</t>
        </is>
      </c>
      <c r="B7" t="n">
        <v>67</v>
      </c>
      <c r="C7" t="n">
        <v>59</v>
      </c>
      <c r="D7" t="inlineStr"/>
    </row>
    <row r="8">
      <c r="A8" t="inlineStr">
        <is>
          <t xml:space="preserve">  MALE</t>
        </is>
      </c>
      <c r="B8" t="n">
        <v>178</v>
      </c>
      <c r="C8" t="n">
        <v>184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120</v>
      </c>
      <c r="C10" t="n">
        <v>118</v>
      </c>
      <c r="D10" t="inlineStr">
        <is>
          <t>0.204</t>
        </is>
      </c>
    </row>
    <row r="11">
      <c r="A11" t="inlineStr">
        <is>
          <t xml:space="preserve">  2.0</t>
        </is>
      </c>
      <c r="B11" t="n">
        <v>79</v>
      </c>
      <c r="C11" t="n">
        <v>77</v>
      </c>
      <c r="D11" t="inlineStr"/>
    </row>
    <row r="12">
      <c r="A12" t="inlineStr">
        <is>
          <t xml:space="preserve">  3.0</t>
        </is>
      </c>
      <c r="B12" t="n">
        <v>37</v>
      </c>
      <c r="C12" t="n">
        <v>46</v>
      </c>
      <c r="D12" t="inlineStr"/>
    </row>
    <row r="13">
      <c r="A13" t="inlineStr">
        <is>
          <t xml:space="preserve">  4.0</t>
        </is>
      </c>
      <c r="B13" t="n">
        <v>6</v>
      </c>
      <c r="C13" t="n">
        <v>1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197</v>
      </c>
      <c r="C15" t="n">
        <v>204</v>
      </c>
      <c r="D15" t="inlineStr">
        <is>
          <t>0.124</t>
        </is>
      </c>
    </row>
    <row r="16">
      <c r="A16" t="inlineStr">
        <is>
          <t xml:space="preserve">  1.0</t>
        </is>
      </c>
      <c r="B16" t="n">
        <v>6</v>
      </c>
      <c r="C16" t="n">
        <v>1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164</v>
      </c>
      <c r="C18" t="n">
        <v>147</v>
      </c>
      <c r="D18" t="inlineStr">
        <is>
          <t>0.138</t>
        </is>
      </c>
    </row>
    <row r="19">
      <c r="A19" t="inlineStr">
        <is>
          <t xml:space="preserve">  1.0</t>
        </is>
      </c>
      <c r="B19" t="n">
        <v>60</v>
      </c>
      <c r="C19" t="n">
        <v>66</v>
      </c>
      <c r="D19" t="inlineStr"/>
    </row>
    <row r="20">
      <c r="A20" t="inlineStr">
        <is>
          <t xml:space="preserve">  2.0</t>
        </is>
      </c>
      <c r="B20" t="n">
        <v>15</v>
      </c>
      <c r="C20" t="n">
        <v>25</v>
      </c>
      <c r="D20" t="inlineStr"/>
    </row>
    <row r="21">
      <c r="A21" t="inlineStr">
        <is>
          <t xml:space="preserve">  3.0</t>
        </is>
      </c>
      <c r="B21" t="n">
        <v>1</v>
      </c>
      <c r="C21" t="n">
        <v>4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50</v>
      </c>
      <c r="C23" t="n">
        <v>59</v>
      </c>
      <c r="D23" t="inlineStr">
        <is>
          <t>0.377</t>
        </is>
      </c>
    </row>
    <row r="24">
      <c r="A24" t="inlineStr">
        <is>
          <t xml:space="preserve">  2.0</t>
        </is>
      </c>
      <c r="B24" t="n">
        <v>143</v>
      </c>
      <c r="C24" t="n">
        <v>143</v>
      </c>
      <c r="D24" t="inlineStr"/>
    </row>
    <row r="25">
      <c r="A25" t="inlineStr">
        <is>
          <t xml:space="preserve">  3.0</t>
        </is>
      </c>
      <c r="B25" t="n">
        <v>37</v>
      </c>
      <c r="C25" t="n">
        <v>33</v>
      </c>
      <c r="D25" t="inlineStr"/>
    </row>
    <row r="26">
      <c r="A26" t="inlineStr">
        <is>
          <t xml:space="preserve">  4.0</t>
        </is>
      </c>
      <c r="B26" t="n">
        <v>15</v>
      </c>
      <c r="C26" t="n">
        <v>8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38</v>
      </c>
      <c r="C28" t="n">
        <v>38</v>
      </c>
      <c r="D28" t="inlineStr">
        <is>
          <t>1.000</t>
        </is>
      </c>
    </row>
    <row r="29">
      <c r="A29" t="inlineStr">
        <is>
          <t xml:space="preserve">  1.0</t>
        </is>
      </c>
      <c r="B29" t="n">
        <v>207</v>
      </c>
      <c r="C29" t="n">
        <v>206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SignatureScore_LOXL2_ITGB1_PLAUR_SNAI1_VEGFC</t>
        </is>
      </c>
      <c r="D1" s="1" t="inlineStr">
        <is>
          <t>number_pack_years_smoked</t>
        </is>
      </c>
      <c r="E1" s="1" t="inlineStr">
        <is>
          <t>age</t>
        </is>
      </c>
    </row>
    <row r="2">
      <c r="A2" t="inlineStr">
        <is>
          <t>SignatureScore_LOXL2_ITGB1_PLAUR_SNAI1_VEGFC</t>
        </is>
      </c>
      <c r="B2" t="inlineStr">
        <is>
          <t>R</t>
        </is>
      </c>
      <c r="C2" t="inlineStr">
        <is>
          <t>1</t>
        </is>
      </c>
      <c r="D2" t="inlineStr">
        <is>
          <t>0.026</t>
        </is>
      </c>
      <c r="E2" t="inlineStr">
        <is>
          <t>0.020</t>
        </is>
      </c>
    </row>
    <row r="3">
      <c r="A3" t="inlineStr"/>
      <c r="B3" t="inlineStr">
        <is>
          <t>P</t>
        </is>
      </c>
      <c r="C3" t="inlineStr"/>
      <c r="D3" t="inlineStr">
        <is>
          <t>0.598</t>
        </is>
      </c>
      <c r="E3" t="inlineStr">
        <is>
          <t>0.665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0.026</t>
        </is>
      </c>
      <c r="D4" t="inlineStr">
        <is>
          <t>1</t>
        </is>
      </c>
      <c r="E4" t="inlineStr">
        <is>
          <t>0.045</t>
        </is>
      </c>
    </row>
    <row r="5">
      <c r="A5" t="inlineStr"/>
      <c r="B5" t="inlineStr">
        <is>
          <t>P</t>
        </is>
      </c>
      <c r="C5" t="inlineStr">
        <is>
          <t>0.598</t>
        </is>
      </c>
      <c r="D5" t="inlineStr"/>
      <c r="E5" t="inlineStr">
        <is>
          <t>0.359</t>
        </is>
      </c>
    </row>
    <row r="6">
      <c r="A6" t="inlineStr">
        <is>
          <t>age</t>
        </is>
      </c>
      <c r="B6" t="inlineStr">
        <is>
          <t>R</t>
        </is>
      </c>
      <c r="C6" t="inlineStr">
        <is>
          <t>0.020</t>
        </is>
      </c>
      <c r="D6" t="inlineStr">
        <is>
          <t>0.045</t>
        </is>
      </c>
      <c r="E6" t="inlineStr">
        <is>
          <t>1</t>
        </is>
      </c>
    </row>
    <row r="7">
      <c r="A7" t="inlineStr"/>
      <c r="B7" t="inlineStr">
        <is>
          <t>P</t>
        </is>
      </c>
      <c r="C7" t="inlineStr">
        <is>
          <t>0.665</t>
        </is>
      </c>
      <c r="D7" t="inlineStr">
        <is>
          <t>0.359</t>
        </is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</t>
        </is>
      </c>
      <c r="B2" t="n">
        <v>1.01</v>
      </c>
      <c r="C2" t="inlineStr">
        <is>
          <t>0.487</t>
        </is>
      </c>
    </row>
    <row r="3">
      <c r="A3" t="inlineStr">
        <is>
          <t>number_pack_years_smoked</t>
        </is>
      </c>
      <c r="B3" t="n">
        <v>1.005</v>
      </c>
      <c r="C3" t="inlineStr">
        <is>
          <t>0.086</t>
        </is>
      </c>
    </row>
    <row r="4">
      <c r="A4" t="inlineStr">
        <is>
          <t>SignatureGroup_LOXL2_ITGB1_PLAUR_SNAI1_VEGFC_Low</t>
        </is>
      </c>
      <c r="B4" t="n">
        <v>0.552</v>
      </c>
      <c r="C4" t="inlineStr">
        <is>
          <t>0.009</t>
        </is>
      </c>
    </row>
    <row r="5">
      <c r="A5" t="inlineStr">
        <is>
          <t>gender_MALE</t>
        </is>
      </c>
      <c r="B5" t="n">
        <v>1.69</v>
      </c>
      <c r="C5" t="inlineStr">
        <is>
          <t>0.053</t>
        </is>
      </c>
    </row>
    <row r="6">
      <c r="A6" t="inlineStr">
        <is>
          <t>pathologic_stage_2.0</t>
        </is>
      </c>
      <c r="B6" t="n">
        <v>1.75</v>
      </c>
      <c r="C6" t="inlineStr">
        <is>
          <t>0.025</t>
        </is>
      </c>
    </row>
    <row r="7">
      <c r="A7" t="inlineStr">
        <is>
          <t>pathologic_stage_3.0</t>
        </is>
      </c>
      <c r="B7" t="n">
        <v>2.617</v>
      </c>
      <c r="C7" t="inlineStr">
        <is>
          <t>0.001</t>
        </is>
      </c>
    </row>
    <row r="8">
      <c r="A8" t="inlineStr">
        <is>
          <t>pathologic_stage_4.0</t>
        </is>
      </c>
      <c r="B8" t="n">
        <v>0</v>
      </c>
      <c r="C8" t="inlineStr">
        <is>
          <t>0.994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SignatureScore_LOXL2_ITGB1_PLAUR_SNAI1_VEGFC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SignatureScore_LOXL2_ITGB1_PLAUR_SNAI1_VEGFC ~ age + C(gender) + number_pack_years_smoked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0.0170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3.2486e-01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-0.4665</v>
      </c>
      <c r="C8" t="n">
        <v>-1.0601</v>
      </c>
      <c r="D8" t="n">
        <v>0.1272</v>
      </c>
      <c r="E8" t="inlineStr">
        <is>
          <t>0.123</t>
        </is>
      </c>
    </row>
    <row r="9">
      <c r="A9" t="inlineStr">
        <is>
          <t>C(gender)[T.MALE]</t>
        </is>
      </c>
      <c r="B9" t="n">
        <v>-0.0275</v>
      </c>
      <c r="C9" t="n">
        <v>-0.1849</v>
      </c>
      <c r="D9" t="n">
        <v>0.13</v>
      </c>
      <c r="E9" t="inlineStr">
        <is>
          <t>0.732</t>
        </is>
      </c>
    </row>
    <row r="10">
      <c r="A10" t="inlineStr">
        <is>
          <t>C(pathologic_stage)[T.2.0]</t>
        </is>
      </c>
      <c r="B10" t="n">
        <v>0.16</v>
      </c>
      <c r="C10" t="n">
        <v>0.0039</v>
      </c>
      <c r="D10" t="n">
        <v>0.316</v>
      </c>
      <c r="E10" t="inlineStr">
        <is>
          <t>0.045</t>
        </is>
      </c>
    </row>
    <row r="11">
      <c r="A11" t="inlineStr">
        <is>
          <t>C(pathologic_stage)[T.3.0]</t>
        </is>
      </c>
      <c r="B11" t="n">
        <v>0.1439</v>
      </c>
      <c r="C11" t="n">
        <v>-0.0511</v>
      </c>
      <c r="D11" t="n">
        <v>0.3388</v>
      </c>
      <c r="E11" t="inlineStr">
        <is>
          <t>0.148</t>
        </is>
      </c>
    </row>
    <row r="12">
      <c r="A12" t="inlineStr">
        <is>
          <t>C(pathologic_stage)[T.4.0]</t>
        </is>
      </c>
      <c r="B12" t="n">
        <v>0.3065</v>
      </c>
      <c r="C12" t="n">
        <v>-0.2706</v>
      </c>
      <c r="D12" t="n">
        <v>0.8836000000000001</v>
      </c>
      <c r="E12" t="inlineStr">
        <is>
          <t>0.297</t>
        </is>
      </c>
    </row>
    <row r="13">
      <c r="A13" t="inlineStr">
        <is>
          <t>age</t>
        </is>
      </c>
      <c r="B13" t="n">
        <v>0.0055</v>
      </c>
      <c r="C13" t="n">
        <v>-0.0029</v>
      </c>
      <c r="D13" t="n">
        <v>0.0138</v>
      </c>
      <c r="E13" t="inlineStr">
        <is>
          <t>0.201</t>
        </is>
      </c>
    </row>
    <row r="14">
      <c r="A14" t="inlineStr">
        <is>
          <t>number_pack_years_smoked</t>
        </is>
      </c>
      <c r="B14" t="n">
        <v>0.0005999999999999999</v>
      </c>
      <c r="C14" t="n">
        <v>-0.0016</v>
      </c>
      <c r="D14" t="n">
        <v>0.0028</v>
      </c>
      <c r="E14" t="inlineStr">
        <is>
          <t>0.608</t>
        </is>
      </c>
    </row>
    <row r="15">
      <c r="A15" t="inlineStr"/>
      <c r="B15" t="inlineStr"/>
      <c r="C15" t="inlineStr"/>
      <c r="D15" t="inlineStr"/>
      <c r="E15" t="inlineStr"/>
    </row>
    <row r="16">
      <c r="A16">
        <f>== [ Model: Pathologic T ] ===</f>
        <v/>
      </c>
      <c r="B16" t="inlineStr"/>
      <c r="C16" t="inlineStr"/>
      <c r="D16" t="inlineStr"/>
      <c r="E16" t="inlineStr"/>
    </row>
    <row r="17">
      <c r="A17" t="inlineStr">
        <is>
          <t>Dependent Variable (Y)</t>
        </is>
      </c>
      <c r="B17" t="inlineStr">
        <is>
          <t>SignatureScore_LOXL2_ITGB1_PLAUR_SNAI1_VEGFC</t>
        </is>
      </c>
      <c r="C17" t="inlineStr"/>
      <c r="D17" t="inlineStr"/>
      <c r="E17" t="inlineStr"/>
    </row>
    <row r="18">
      <c r="A18" t="inlineStr">
        <is>
          <t>Model Formula</t>
        </is>
      </c>
      <c r="B18" t="inlineStr">
        <is>
          <t>SignatureScore_LOXL2_ITGB1_PLAUR_SNAI1_VEGFC ~ age + C(gender) + number_pack_years_smoked + C(pathologic_T)</t>
        </is>
      </c>
      <c r="C18" t="inlineStr"/>
      <c r="D18" t="inlineStr"/>
      <c r="E18" t="inlineStr"/>
    </row>
    <row r="19">
      <c r="A19" t="inlineStr">
        <is>
          <t>R-squared</t>
        </is>
      </c>
      <c r="B19" t="inlineStr">
        <is>
          <t>0.0224</t>
        </is>
      </c>
      <c r="C19" t="inlineStr"/>
      <c r="D19" t="inlineStr"/>
      <c r="E19" t="inlineStr"/>
    </row>
    <row r="20">
      <c r="A20" t="inlineStr">
        <is>
          <t>Prob (F-statistic)</t>
        </is>
      </c>
      <c r="B20" t="inlineStr">
        <is>
          <t>1.6137e-01</t>
        </is>
      </c>
      <c r="C20" t="inlineStr"/>
      <c r="D20" t="inlineStr"/>
      <c r="E20" t="inlineStr"/>
    </row>
    <row r="21">
      <c r="A21" t="inlineStr">
        <is>
          <t>--- [ Coefficients ] ---</t>
        </is>
      </c>
      <c r="B21" t="inlineStr"/>
      <c r="C21" t="inlineStr"/>
      <c r="D21" t="inlineStr"/>
      <c r="E21" t="inlineStr"/>
    </row>
    <row r="22">
      <c r="A22" t="inlineStr">
        <is>
          <t>Intercept</t>
        </is>
      </c>
      <c r="B22" t="n">
        <v>-0.4845</v>
      </c>
      <c r="C22" t="n">
        <v>-1.0701</v>
      </c>
      <c r="D22" t="n">
        <v>0.1012</v>
      </c>
      <c r="E22" t="inlineStr">
        <is>
          <t>0.105</t>
        </is>
      </c>
    </row>
    <row r="23">
      <c r="A23" t="inlineStr">
        <is>
          <t>C(gender)[T.MALE]</t>
        </is>
      </c>
      <c r="B23" t="n">
        <v>-0.0307</v>
      </c>
      <c r="C23" t="n">
        <v>-0.1884</v>
      </c>
      <c r="D23" t="n">
        <v>0.127</v>
      </c>
      <c r="E23" t="inlineStr">
        <is>
          <t>0.702</t>
        </is>
      </c>
    </row>
    <row r="24">
      <c r="A24" t="inlineStr">
        <is>
          <t>C(pathologic_T)[T.2.0]</t>
        </is>
      </c>
      <c r="B24" t="n">
        <v>0.1332</v>
      </c>
      <c r="C24" t="n">
        <v>-0.0356</v>
      </c>
      <c r="D24" t="n">
        <v>0.3021</v>
      </c>
      <c r="E24" t="inlineStr">
        <is>
          <t>0.122</t>
        </is>
      </c>
    </row>
    <row r="25">
      <c r="A25" t="inlineStr">
        <is>
          <t>C(pathologic_T)[T.3.0]</t>
        </is>
      </c>
      <c r="B25" t="n">
        <v>0.3309</v>
      </c>
      <c r="C25" t="n">
        <v>0.09370000000000001</v>
      </c>
      <c r="D25" t="n">
        <v>0.5682</v>
      </c>
      <c r="E25" t="inlineStr">
        <is>
          <t>0.006</t>
        </is>
      </c>
    </row>
    <row r="26">
      <c r="A26" t="inlineStr">
        <is>
          <t>C(pathologic_T)[T.4.0]</t>
        </is>
      </c>
      <c r="B26" t="n">
        <v>0.1933</v>
      </c>
      <c r="C26" t="n">
        <v>-0.172</v>
      </c>
      <c r="D26" t="n">
        <v>0.5586</v>
      </c>
      <c r="E26" t="inlineStr">
        <is>
          <t>0.299</t>
        </is>
      </c>
    </row>
    <row r="27">
      <c r="A27" t="inlineStr">
        <is>
          <t>age</t>
        </is>
      </c>
      <c r="B27" t="n">
        <v>0.0049</v>
      </c>
      <c r="C27" t="n">
        <v>-0.0034</v>
      </c>
      <c r="D27" t="n">
        <v>0.0131</v>
      </c>
      <c r="E27" t="inlineStr">
        <is>
          <t>0.245</t>
        </is>
      </c>
    </row>
    <row r="28">
      <c r="A28" t="inlineStr">
        <is>
          <t>number_pack_years_smoked</t>
        </is>
      </c>
      <c r="B28" t="n">
        <v>0.0007</v>
      </c>
      <c r="C28" t="n">
        <v>-0.0015</v>
      </c>
      <c r="D28" t="n">
        <v>0.0029</v>
      </c>
      <c r="E28" t="inlineStr">
        <is>
          <t>0.542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[ Model: Pathologic N ] ===</f>
        <v/>
      </c>
      <c r="B30" t="inlineStr"/>
      <c r="C30" t="inlineStr"/>
      <c r="D30" t="inlineStr"/>
      <c r="E30" t="inlineStr"/>
    </row>
    <row r="31">
      <c r="A31" t="inlineStr">
        <is>
          <t>Dependent Variable (Y)</t>
        </is>
      </c>
      <c r="B31" t="inlineStr">
        <is>
          <t>SignatureScore_LOXL2_ITGB1_PLAUR_SNAI1_VEGFC</t>
        </is>
      </c>
      <c r="C31" t="inlineStr"/>
      <c r="D31" t="inlineStr"/>
      <c r="E31" t="inlineStr"/>
    </row>
    <row r="32">
      <c r="A32" t="inlineStr">
        <is>
          <t>Model Formula</t>
        </is>
      </c>
      <c r="B32" t="inlineStr">
        <is>
          <t>SignatureScore_LOXL2_ITGB1_PLAUR_SNAI1_VEGFC ~ age + C(gender) + number_pack_years_smoked + C(pathologic_N)</t>
        </is>
      </c>
      <c r="C32" t="inlineStr"/>
      <c r="D32" t="inlineStr"/>
      <c r="E32" t="inlineStr"/>
    </row>
    <row r="33">
      <c r="A33" t="inlineStr">
        <is>
          <t>R-squared</t>
        </is>
      </c>
      <c r="B33" t="inlineStr">
        <is>
          <t>0.0159</t>
        </is>
      </c>
      <c r="C33" t="inlineStr"/>
      <c r="D33" t="inlineStr"/>
      <c r="E33" t="inlineStr"/>
    </row>
    <row r="34">
      <c r="A34" t="inlineStr">
        <is>
          <t>Prob (F-statistic)</t>
        </is>
      </c>
      <c r="B34" t="inlineStr">
        <is>
          <t>3.7513e-01</t>
        </is>
      </c>
      <c r="C34" t="inlineStr"/>
      <c r="D34" t="inlineStr"/>
      <c r="E34" t="inlineStr"/>
    </row>
    <row r="35">
      <c r="A35" t="inlineStr">
        <is>
          <t>--- [ Coefficients ] ---</t>
        </is>
      </c>
      <c r="B35" t="inlineStr"/>
      <c r="C35" t="inlineStr"/>
      <c r="D35" t="inlineStr"/>
      <c r="E35" t="inlineStr"/>
    </row>
    <row r="36">
      <c r="A36" t="inlineStr">
        <is>
          <t>Intercept</t>
        </is>
      </c>
      <c r="B36" t="n">
        <v>-0.3669</v>
      </c>
      <c r="C36" t="n">
        <v>-0.9654</v>
      </c>
      <c r="D36" t="n">
        <v>0.2316</v>
      </c>
      <c r="E36" t="inlineStr">
        <is>
          <t>0.229</t>
        </is>
      </c>
    </row>
    <row r="37">
      <c r="A37" t="inlineStr">
        <is>
          <t>C(gender)[T.MALE]</t>
        </is>
      </c>
      <c r="B37" t="n">
        <v>-0.024</v>
      </c>
      <c r="C37" t="n">
        <v>-0.1811</v>
      </c>
      <c r="D37" t="n">
        <v>0.1331</v>
      </c>
      <c r="E37" t="inlineStr">
        <is>
          <t>0.764</t>
        </is>
      </c>
    </row>
    <row r="38">
      <c r="A38" t="inlineStr">
        <is>
          <t>C(pathologic_N)[T.1.0]</t>
        </is>
      </c>
      <c r="B38" t="n">
        <v>0.1542</v>
      </c>
      <c r="C38" t="n">
        <v>-0.0054</v>
      </c>
      <c r="D38" t="n">
        <v>0.3138</v>
      </c>
      <c r="E38" t="inlineStr">
        <is>
          <t>0.058</t>
        </is>
      </c>
    </row>
    <row r="39">
      <c r="A39" t="inlineStr">
        <is>
          <t>C(pathologic_N)[T.2.0]</t>
        </is>
      </c>
      <c r="B39" t="n">
        <v>-0.0827</v>
      </c>
      <c r="C39" t="n">
        <v>-0.3409</v>
      </c>
      <c r="D39" t="n">
        <v>0.1754</v>
      </c>
      <c r="E39" t="inlineStr">
        <is>
          <t>0.529</t>
        </is>
      </c>
    </row>
    <row r="40">
      <c r="A40" t="inlineStr">
        <is>
          <t>C(pathologic_N)[T.3.0]</t>
        </is>
      </c>
      <c r="B40" t="n">
        <v>-0.1805</v>
      </c>
      <c r="C40" t="n">
        <v>-0.8074</v>
      </c>
      <c r="D40" t="n">
        <v>0.4463</v>
      </c>
      <c r="E40" t="inlineStr">
        <is>
          <t>0.572</t>
        </is>
      </c>
    </row>
    <row r="41">
      <c r="A41" t="inlineStr">
        <is>
          <t>age</t>
        </is>
      </c>
      <c r="B41" t="n">
        <v>0.0046</v>
      </c>
      <c r="C41" t="n">
        <v>-0.0039</v>
      </c>
      <c r="D41" t="n">
        <v>0.013</v>
      </c>
      <c r="E41" t="inlineStr">
        <is>
          <t>0.289</t>
        </is>
      </c>
    </row>
    <row r="42">
      <c r="A42" t="inlineStr">
        <is>
          <t>number_pack_years_smoked</t>
        </is>
      </c>
      <c r="B42" t="n">
        <v>0.0005999999999999999</v>
      </c>
      <c r="C42" t="n">
        <v>-0.0016</v>
      </c>
      <c r="D42" t="n">
        <v>0.0028</v>
      </c>
      <c r="E42" t="inlineStr">
        <is>
          <t>0.616</t>
        </is>
      </c>
    </row>
    <row r="43">
      <c r="A43" t="inlineStr"/>
      <c r="B43" t="inlineStr"/>
      <c r="C43" t="inlineStr"/>
      <c r="D43" t="inlineStr"/>
      <c r="E43" t="inlineStr"/>
    </row>
    <row r="44">
      <c r="A44">
        <f>== [ Model: Pathologic M ] ===</f>
        <v/>
      </c>
      <c r="B44" t="inlineStr"/>
      <c r="C44" t="inlineStr"/>
      <c r="D44" t="inlineStr"/>
      <c r="E44" t="inlineStr"/>
    </row>
    <row r="45">
      <c r="A45" t="inlineStr">
        <is>
          <t>Dependent Variable (Y)</t>
        </is>
      </c>
      <c r="B45" t="inlineStr">
        <is>
          <t>SignatureScore_LOXL2_ITGB1_PLAUR_SNAI1_VEGFC</t>
        </is>
      </c>
      <c r="C45" t="inlineStr"/>
      <c r="D45" t="inlineStr"/>
      <c r="E45" t="inlineStr"/>
    </row>
    <row r="46">
      <c r="A46" t="inlineStr">
        <is>
          <t>Model Formula</t>
        </is>
      </c>
      <c r="B46" t="inlineStr">
        <is>
          <t>SignatureScore_LOXL2_ITGB1_PLAUR_SNAI1_VEGFC ~ age + C(gender) + number_pack_years_smoked + C(pathologic_M)</t>
        </is>
      </c>
      <c r="C46" t="inlineStr"/>
      <c r="D46" t="inlineStr"/>
      <c r="E46" t="inlineStr"/>
    </row>
    <row r="47">
      <c r="A47" t="inlineStr">
        <is>
          <t>R-squared</t>
        </is>
      </c>
      <c r="B47" t="inlineStr">
        <is>
          <t>0.0108</t>
        </is>
      </c>
      <c r="C47" t="inlineStr"/>
      <c r="D47" t="inlineStr"/>
      <c r="E47" t="inlineStr"/>
    </row>
    <row r="48">
      <c r="A48" t="inlineStr">
        <is>
          <t>Prob (F-statistic)</t>
        </is>
      </c>
      <c r="B48" t="inlineStr">
        <is>
          <t>4.4463e-01</t>
        </is>
      </c>
      <c r="C48" t="inlineStr"/>
      <c r="D48" t="inlineStr"/>
      <c r="E48" t="inlineStr"/>
    </row>
    <row r="49">
      <c r="A49" t="inlineStr">
        <is>
          <t>--- [ Coefficients ] ---</t>
        </is>
      </c>
      <c r="B49" t="inlineStr"/>
      <c r="C49" t="inlineStr"/>
      <c r="D49" t="inlineStr"/>
      <c r="E49" t="inlineStr"/>
    </row>
    <row r="50">
      <c r="A50" t="inlineStr">
        <is>
          <t>Intercept</t>
        </is>
      </c>
      <c r="B50" t="n">
        <v>-0.5357</v>
      </c>
      <c r="C50" t="n">
        <v>-1.1845</v>
      </c>
      <c r="D50" t="n">
        <v>0.1131</v>
      </c>
      <c r="E50" t="inlineStr">
        <is>
          <t>0.105</t>
        </is>
      </c>
    </row>
    <row r="51">
      <c r="A51" t="inlineStr">
        <is>
          <t>C(gender)[T.MALE]</t>
        </is>
      </c>
      <c r="B51" t="n">
        <v>0.0127</v>
      </c>
      <c r="C51" t="n">
        <v>-0.1595</v>
      </c>
      <c r="D51" t="n">
        <v>0.1848</v>
      </c>
      <c r="E51" t="inlineStr">
        <is>
          <t>0.885</t>
        </is>
      </c>
    </row>
    <row r="52">
      <c r="A52" t="inlineStr">
        <is>
          <t>C(pathologic_M)[T.1.0]</t>
        </is>
      </c>
      <c r="B52" t="n">
        <v>0.2239</v>
      </c>
      <c r="C52" t="n">
        <v>-0.3479</v>
      </c>
      <c r="D52" t="n">
        <v>0.7956</v>
      </c>
      <c r="E52" t="inlineStr">
        <is>
          <t>0.442</t>
        </is>
      </c>
    </row>
    <row r="53">
      <c r="A53" t="inlineStr">
        <is>
          <t>age</t>
        </is>
      </c>
      <c r="B53" t="n">
        <v>0.0067</v>
      </c>
      <c r="C53" t="n">
        <v>-0.0025</v>
      </c>
      <c r="D53" t="n">
        <v>0.0159</v>
      </c>
      <c r="E53" t="inlineStr">
        <is>
          <t>0.154</t>
        </is>
      </c>
    </row>
    <row r="54">
      <c r="A54" t="inlineStr">
        <is>
          <t>number_pack_years_smoked</t>
        </is>
      </c>
      <c r="B54" t="n">
        <v>0.0012</v>
      </c>
      <c r="C54" t="n">
        <v>-0.0013</v>
      </c>
      <c r="D54" t="n">
        <v>0.0036</v>
      </c>
      <c r="E54" t="inlineStr">
        <is>
          <t>0.349</t>
        </is>
      </c>
    </row>
    <row r="55">
      <c r="A55" t="inlineStr"/>
      <c r="B55" t="inlineStr"/>
      <c r="C55" t="inlineStr"/>
      <c r="D55" t="inlineStr"/>
      <c r="E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2026-06-23T06:51:22Z</dcterms:created>
  <dcterms:modified xsi:type="dcterms:W3CDTF">2026-06-23T06:51:22Z</dcterms:modified>
</cp:coreProperties>
</file>
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96</v>
      </c>
      <c r="C3" t="n">
        <v>76</v>
      </c>
      <c r="D3" t="inlineStr">
        <is>
          <t>&lt;0.001</t>
        </is>
      </c>
    </row>
    <row r="4">
      <c r="A4" t="inlineStr">
        <is>
          <t xml:space="preserve">  1.0</t>
        </is>
      </c>
      <c r="B4" t="n">
        <v>105</v>
      </c>
      <c r="C4" t="n">
        <v>167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45</v>
      </c>
      <c r="C6" t="n">
        <v>70</v>
      </c>
      <c r="D6" t="inlineStr">
        <is>
          <t>0.124</t>
        </is>
      </c>
    </row>
    <row r="7">
      <c r="A7" t="inlineStr">
        <is>
          <t xml:space="preserve">  MALE</t>
        </is>
      </c>
      <c r="B7" t="n">
        <v>156</v>
      </c>
      <c r="C7" t="n">
        <v>173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89</v>
      </c>
      <c r="C9" t="n">
        <v>128</v>
      </c>
      <c r="D9" t="inlineStr">
        <is>
          <t>0.319</t>
        </is>
      </c>
    </row>
    <row r="10">
      <c r="A10" t="inlineStr">
        <is>
          <t xml:space="preserve">  2.0</t>
        </is>
      </c>
      <c r="B10" t="n">
        <v>71</v>
      </c>
      <c r="C10" t="n">
        <v>70</v>
      </c>
      <c r="D10" t="inlineStr"/>
    </row>
    <row r="11">
      <c r="A11" t="inlineStr">
        <is>
          <t xml:space="preserve">  3.0</t>
        </is>
      </c>
      <c r="B11" t="n">
        <v>35</v>
      </c>
      <c r="C11" t="n">
        <v>40</v>
      </c>
      <c r="D11" t="inlineStr"/>
    </row>
    <row r="12">
      <c r="A12" t="inlineStr">
        <is>
          <t xml:space="preserve">  4.0</t>
        </is>
      </c>
      <c r="B12" t="n">
        <v>4</v>
      </c>
      <c r="C12" t="n">
        <v>3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168</v>
      </c>
      <c r="C14" t="n">
        <v>198</v>
      </c>
      <c r="D14" t="inlineStr">
        <is>
          <t>0.555</t>
        </is>
      </c>
    </row>
    <row r="15">
      <c r="A15" t="inlineStr">
        <is>
          <t xml:space="preserve">  1.0</t>
        </is>
      </c>
      <c r="B15" t="n">
        <v>4</v>
      </c>
      <c r="C15" t="n">
        <v>3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115</v>
      </c>
      <c r="C17" t="n">
        <v>164</v>
      </c>
      <c r="D17" t="inlineStr">
        <is>
          <t>0.088</t>
        </is>
      </c>
    </row>
    <row r="18">
      <c r="A18" t="inlineStr">
        <is>
          <t xml:space="preserve">  1.0</t>
        </is>
      </c>
      <c r="B18" t="n">
        <v>65</v>
      </c>
      <c r="C18" t="n">
        <v>53</v>
      </c>
      <c r="D18" t="inlineStr"/>
    </row>
    <row r="19">
      <c r="A19" t="inlineStr">
        <is>
          <t xml:space="preserve">  2.0</t>
        </is>
      </c>
      <c r="B19" t="n">
        <v>17</v>
      </c>
      <c r="C19" t="n">
        <v>19</v>
      </c>
      <c r="D19" t="inlineStr"/>
    </row>
    <row r="20">
      <c r="A20" t="inlineStr">
        <is>
          <t xml:space="preserve">  3.0</t>
        </is>
      </c>
      <c r="B20" t="n">
        <v>2</v>
      </c>
      <c r="C20" t="n">
        <v>3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40</v>
      </c>
      <c r="C22" t="n">
        <v>64</v>
      </c>
      <c r="D22" t="inlineStr">
        <is>
          <t>0.158</t>
        </is>
      </c>
    </row>
    <row r="23">
      <c r="A23" t="inlineStr">
        <is>
          <t xml:space="preserve">  2.0</t>
        </is>
      </c>
      <c r="B23" t="n">
        <v>125</v>
      </c>
      <c r="C23" t="n">
        <v>131</v>
      </c>
      <c r="D23" t="inlineStr"/>
    </row>
    <row r="24">
      <c r="A24" t="inlineStr">
        <is>
          <t xml:space="preserve">  3.0</t>
        </is>
      </c>
      <c r="B24" t="n">
        <v>30</v>
      </c>
      <c r="C24" t="n">
        <v>34</v>
      </c>
      <c r="D24" t="inlineStr"/>
    </row>
    <row r="25">
      <c r="A25" t="inlineStr">
        <is>
          <t xml:space="preserve">  4.0</t>
        </is>
      </c>
      <c r="B25" t="n">
        <v>6</v>
      </c>
      <c r="C25" t="n">
        <v>14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28</v>
      </c>
      <c r="C27" t="n">
        <v>33</v>
      </c>
      <c r="D27" t="inlineStr">
        <is>
          <t>0.901</t>
        </is>
      </c>
    </row>
    <row r="28">
      <c r="A28" t="inlineStr">
        <is>
          <t xml:space="preserve">  1.0</t>
        </is>
      </c>
      <c r="B28" t="n">
        <v>173</v>
      </c>
      <c r="C28" t="n">
        <v>211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ECT2expression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ECT2expression</t>
        </is>
      </c>
      <c r="B2" t="inlineStr">
        <is>
          <t>R</t>
        </is>
      </c>
      <c r="C2" t="inlineStr">
        <is>
          <t>1</t>
        </is>
      </c>
      <c r="D2" t="inlineStr">
        <is>
          <t>-0.013</t>
        </is>
      </c>
      <c r="E2" t="inlineStr">
        <is>
          <t>-0.149</t>
        </is>
      </c>
      <c r="F2" t="inlineStr">
        <is>
          <t>0.064</t>
        </is>
      </c>
      <c r="G2" t="inlineStr">
        <is>
          <t>0.102</t>
        </is>
      </c>
      <c r="H2" t="inlineStr">
        <is>
          <t>0.405</t>
        </is>
      </c>
      <c r="I2" t="inlineStr">
        <is>
          <t>0.512</t>
        </is>
      </c>
      <c r="J2" t="inlineStr">
        <is>
          <t>0.031</t>
        </is>
      </c>
    </row>
    <row r="3">
      <c r="A3" t="inlineStr"/>
      <c r="B3" t="inlineStr">
        <is>
          <t>P-value</t>
        </is>
      </c>
      <c r="C3" t="inlineStr"/>
      <c r="D3" t="inlineStr">
        <is>
          <t>0.804</t>
        </is>
      </c>
      <c r="E3" t="inlineStr">
        <is>
          <t>0.002</t>
        </is>
      </c>
      <c r="F3" t="inlineStr">
        <is>
          <t>0.181</t>
        </is>
      </c>
      <c r="G3" t="inlineStr">
        <is>
          <t>0.032</t>
        </is>
      </c>
      <c r="H3" t="inlineStr">
        <is>
          <t>&lt;0.001</t>
        </is>
      </c>
      <c r="I3" t="inlineStr">
        <is>
          <t>&lt;0.001</t>
        </is>
      </c>
      <c r="J3" t="inlineStr">
        <is>
          <t>0.518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-0.013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0.804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-0.149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0.002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0.064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0.181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0.102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0.032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0.405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&lt;0.001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0.512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&lt;0.001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0.031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0.518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</t>
        </is>
      </c>
      <c r="B2" t="n">
        <v>1.023</v>
      </c>
      <c r="C2" t="inlineStr">
        <is>
          <t>1.003-1.044</t>
        </is>
      </c>
      <c r="D2" t="inlineStr">
        <is>
          <t>0.022</t>
        </is>
      </c>
    </row>
    <row r="3">
      <c r="A3" t="inlineStr">
        <is>
          <t>number_pack_years_smoked</t>
        </is>
      </c>
      <c r="B3" t="n">
        <v>1</v>
      </c>
      <c r="C3" t="inlineStr">
        <is>
          <t>0.996-1.005</t>
        </is>
      </c>
      <c r="D3" t="inlineStr">
        <is>
          <t>0.887</t>
        </is>
      </c>
    </row>
    <row r="4">
      <c r="A4" t="inlineStr">
        <is>
          <t>ECT2group_Low</t>
        </is>
      </c>
      <c r="B4" t="n">
        <v>1.327</v>
      </c>
      <c r="C4" t="inlineStr">
        <is>
          <t>0.965-1.825</t>
        </is>
      </c>
      <c r="D4" t="inlineStr">
        <is>
          <t>0.081</t>
        </is>
      </c>
    </row>
    <row r="5">
      <c r="A5" t="inlineStr">
        <is>
          <t>gender_MALE</t>
        </is>
      </c>
      <c r="B5" t="n">
        <v>1.306</v>
      </c>
      <c r="C5" t="inlineStr">
        <is>
          <t>0.900-1.896</t>
        </is>
      </c>
      <c r="D5" t="inlineStr">
        <is>
          <t>0.160</t>
        </is>
      </c>
    </row>
    <row r="6">
      <c r="A6" t="inlineStr">
        <is>
          <t>pathologic_stage_2.0</t>
        </is>
      </c>
      <c r="B6" t="n">
        <v>1</v>
      </c>
      <c r="C6" t="inlineStr">
        <is>
          <t>0.693-1.444</t>
        </is>
      </c>
      <c r="D6" t="inlineStr">
        <is>
          <t>0.999</t>
        </is>
      </c>
    </row>
    <row r="7">
      <c r="A7" t="inlineStr">
        <is>
          <t>pathologic_stage_3.0</t>
        </is>
      </c>
      <c r="B7" t="n">
        <v>1.372</v>
      </c>
      <c r="C7" t="inlineStr">
        <is>
          <t>0.910-2.068</t>
        </is>
      </c>
      <c r="D7" t="inlineStr">
        <is>
          <t>0.131</t>
        </is>
      </c>
    </row>
    <row r="8">
      <c r="A8" t="inlineStr">
        <is>
          <t>pathologic_stage_4.0</t>
        </is>
      </c>
      <c r="B8" t="n">
        <v>3.426</v>
      </c>
      <c r="C8" t="inlineStr">
        <is>
          <t>1.361-8.625</t>
        </is>
      </c>
      <c r="D8" t="inlineStr">
        <is>
          <t>0.009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</t>
        </is>
      </c>
      <c r="B2" t="n">
        <v>1.024</v>
      </c>
      <c r="C2" t="inlineStr">
        <is>
          <t>1.004-1.044</t>
        </is>
      </c>
      <c r="D2" t="inlineStr">
        <is>
          <t>0.016</t>
        </is>
      </c>
    </row>
    <row r="3">
      <c r="A3" t="inlineStr">
        <is>
          <t>number_pack_years_smoked</t>
        </is>
      </c>
      <c r="B3" t="n">
        <v>1</v>
      </c>
      <c r="C3" t="inlineStr">
        <is>
          <t>0.995-1.005</t>
        </is>
      </c>
      <c r="D3" t="inlineStr">
        <is>
          <t>0.977</t>
        </is>
      </c>
    </row>
    <row r="4">
      <c r="A4" t="inlineStr">
        <is>
          <t>pathologic_stage</t>
        </is>
      </c>
      <c r="B4" t="n">
        <v>1.216</v>
      </c>
      <c r="C4" t="inlineStr">
        <is>
          <t>1.008-1.467</t>
        </is>
      </c>
      <c r="D4" t="inlineStr">
        <is>
          <t>0.041</t>
        </is>
      </c>
    </row>
    <row r="5">
      <c r="A5" t="inlineStr">
        <is>
          <t>ECT2group_Low</t>
        </is>
      </c>
      <c r="B5" t="n">
        <v>1.329</v>
      </c>
      <c r="C5" t="inlineStr">
        <is>
          <t>0.970-1.820</t>
        </is>
      </c>
      <c r="D5" t="inlineStr">
        <is>
          <t>0.077</t>
        </is>
      </c>
    </row>
    <row r="6">
      <c r="A6" t="inlineStr">
        <is>
          <t>gender_MALE</t>
        </is>
      </c>
      <c r="B6" t="n">
        <v>1.331</v>
      </c>
      <c r="C6" t="inlineStr">
        <is>
          <t>0.919-1.928</t>
        </is>
      </c>
      <c r="D6" t="inlineStr">
        <is>
          <t>0.130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</t>
        </is>
      </c>
      <c r="D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</row>
    <row r="3">
      <c r="A3" t="inlineStr">
        <is>
          <t>Dependent Variable (Y)</t>
        </is>
      </c>
      <c r="B3" t="inlineStr">
        <is>
          <t>ECT2expression</t>
        </is>
      </c>
      <c r="C3" t="inlineStr"/>
      <c r="D3" t="inlineStr"/>
    </row>
    <row r="4">
      <c r="A4" t="inlineStr">
        <is>
          <t>Model Formula</t>
        </is>
      </c>
      <c r="B4" t="inlineStr">
        <is>
          <t>ECT2expression ~ age + number_pack_years_smoked + C(gender)</t>
        </is>
      </c>
      <c r="C4" t="inlineStr"/>
      <c r="D4" t="inlineStr"/>
    </row>
    <row r="5">
      <c r="A5" t="inlineStr">
        <is>
          <t>R-squared</t>
        </is>
      </c>
      <c r="B5" t="inlineStr">
        <is>
          <t>0.0431</t>
        </is>
      </c>
      <c r="C5" t="inlineStr"/>
      <c r="D5" t="inlineStr"/>
    </row>
    <row r="6">
      <c r="A6" t="inlineStr">
        <is>
          <t>Prob (F-statistic)</t>
        </is>
      </c>
      <c r="B6" t="inlineStr">
        <is>
          <t>7.7787e-04</t>
        </is>
      </c>
      <c r="C6" t="inlineStr"/>
      <c r="D6" t="inlineStr"/>
    </row>
    <row r="7">
      <c r="A7" t="inlineStr">
        <is>
          <t>--- [ Coefficients ] ---</t>
        </is>
      </c>
      <c r="B7" t="inlineStr"/>
      <c r="C7" t="inlineStr"/>
      <c r="D7" t="inlineStr"/>
    </row>
    <row r="8">
      <c r="A8" t="inlineStr">
        <is>
          <t>Intercept</t>
        </is>
      </c>
      <c r="B8" t="n">
        <v>3541.666</v>
      </c>
      <c r="C8" t="inlineStr">
        <is>
          <t>2693.348-4389.984</t>
        </is>
      </c>
      <c r="D8" t="inlineStr">
        <is>
          <t>&lt;0.001</t>
        </is>
      </c>
    </row>
    <row r="9">
      <c r="A9" t="inlineStr">
        <is>
          <t>C(gender)[T.MALE]</t>
        </is>
      </c>
      <c r="B9" t="n">
        <v>206.899</v>
      </c>
      <c r="C9" t="inlineStr">
        <is>
          <t>-21.513-435.311</t>
        </is>
      </c>
      <c r="D9" t="inlineStr">
        <is>
          <t>0.076</t>
        </is>
      </c>
    </row>
    <row r="10">
      <c r="A10" t="inlineStr">
        <is>
          <t>age</t>
        </is>
      </c>
      <c r="B10" t="n">
        <v>-22.397</v>
      </c>
      <c r="C10" t="inlineStr">
        <is>
          <t>-34.431--10.364</t>
        </is>
      </c>
      <c r="D10" t="inlineStr">
        <is>
          <t>&lt;0.001</t>
        </is>
      </c>
    </row>
    <row r="11">
      <c r="A11" t="inlineStr">
        <is>
          <t>number_pack_years_smoked</t>
        </is>
      </c>
      <c r="B11" t="n">
        <v>-0.551</v>
      </c>
      <c r="C11" t="inlineStr">
        <is>
          <t>-3.729-2.626</t>
        </is>
      </c>
      <c r="D11" t="inlineStr">
        <is>
          <t>0.733</t>
        </is>
      </c>
    </row>
    <row r="12">
      <c r="A12" t="inlineStr"/>
      <c r="B12" t="inlineStr"/>
      <c r="C12" t="inlineStr"/>
      <c r="D12" t="inlineStr"/>
    </row>
    <row r="13">
      <c r="A13">
        <f>== [ Model: Base + Pathologic Stage ] ===</f>
        <v/>
      </c>
      <c r="B13" t="inlineStr"/>
      <c r="C13" t="inlineStr"/>
      <c r="D13" t="inlineStr"/>
    </row>
    <row r="14">
      <c r="A14" t="inlineStr">
        <is>
          <t>Dependent Variable (Y)</t>
        </is>
      </c>
      <c r="B14" t="inlineStr">
        <is>
          <t>ECT2expression</t>
        </is>
      </c>
      <c r="C14" t="inlineStr"/>
      <c r="D14" t="inlineStr"/>
    </row>
    <row r="15">
      <c r="A15" t="inlineStr">
        <is>
          <t>Model Formula</t>
        </is>
      </c>
      <c r="B15" t="inlineStr">
        <is>
          <t>ECT2expression ~ age + number_pack_years_smoked + C(gender) + C(pathologic_stage)</t>
        </is>
      </c>
      <c r="C15" t="inlineStr"/>
      <c r="D15" t="inlineStr"/>
    </row>
    <row r="16">
      <c r="A16" t="inlineStr">
        <is>
          <t>R-squared</t>
        </is>
      </c>
      <c r="B16" t="inlineStr">
        <is>
          <t>0.0502</t>
        </is>
      </c>
      <c r="C16" t="inlineStr"/>
      <c r="D16" t="inlineStr"/>
    </row>
    <row r="17">
      <c r="A17" t="inlineStr">
        <is>
          <t>Prob (F-statistic)</t>
        </is>
      </c>
      <c r="B17" t="inlineStr">
        <is>
          <t>3.5160e-03</t>
        </is>
      </c>
      <c r="C17" t="inlineStr"/>
      <c r="D17" t="inlineStr"/>
    </row>
    <row r="18">
      <c r="A18" t="inlineStr">
        <is>
          <t>--- [ Coefficients ] ---</t>
        </is>
      </c>
      <c r="B18" t="inlineStr"/>
      <c r="C18" t="inlineStr"/>
      <c r="D18" t="inlineStr"/>
    </row>
    <row r="19">
      <c r="A19" t="inlineStr">
        <is>
          <t>Intercept</t>
        </is>
      </c>
      <c r="B19" t="n">
        <v>3440.662</v>
      </c>
      <c r="C19" t="inlineStr">
        <is>
          <t>2565.528-4315.796</t>
        </is>
      </c>
      <c r="D19" t="inlineStr">
        <is>
          <t>&lt;0.001</t>
        </is>
      </c>
    </row>
    <row r="20">
      <c r="A20" t="inlineStr">
        <is>
          <t>C(gender)[T.MALE]</t>
        </is>
      </c>
      <c r="B20" t="n">
        <v>200.187</v>
      </c>
      <c r="C20" t="inlineStr">
        <is>
          <t>-30.146-430.521</t>
        </is>
      </c>
      <c r="D20" t="inlineStr">
        <is>
          <t>0.088</t>
        </is>
      </c>
    </row>
    <row r="21">
      <c r="A21" t="inlineStr">
        <is>
          <t>C(pathologic_stage)[T.2.0]</t>
        </is>
      </c>
      <c r="B21" t="n">
        <v>188.557</v>
      </c>
      <c r="C21" t="inlineStr">
        <is>
          <t>-39.085-416.199</t>
        </is>
      </c>
      <c r="D21" t="inlineStr">
        <is>
          <t>0.104</t>
        </is>
      </c>
    </row>
    <row r="22">
      <c r="A22" t="inlineStr">
        <is>
          <t>C(pathologic_stage)[T.3.0]</t>
        </is>
      </c>
      <c r="B22" t="n">
        <v>68.625</v>
      </c>
      <c r="C22" t="inlineStr">
        <is>
          <t>-214.958-352.209</t>
        </is>
      </c>
      <c r="D22" t="inlineStr">
        <is>
          <t>0.634</t>
        </is>
      </c>
    </row>
    <row r="23">
      <c r="A23" t="inlineStr">
        <is>
          <t>C(pathologic_stage)[T.4.0]</t>
        </is>
      </c>
      <c r="B23" t="n">
        <v>131.396</v>
      </c>
      <c r="C23" t="inlineStr">
        <is>
          <t>-682.15-944.942</t>
        </is>
      </c>
      <c r="D23" t="inlineStr">
        <is>
          <t>0.751</t>
        </is>
      </c>
    </row>
    <row r="24">
      <c r="A24" t="inlineStr">
        <is>
          <t>age</t>
        </is>
      </c>
      <c r="B24" t="n">
        <v>-21.974</v>
      </c>
      <c r="C24" t="inlineStr">
        <is>
          <t>-34.182--9.766</t>
        </is>
      </c>
      <c r="D24" t="inlineStr">
        <is>
          <t>&lt;0.001</t>
        </is>
      </c>
    </row>
    <row r="25">
      <c r="A25" t="inlineStr">
        <is>
          <t>number_pack_years_smoked</t>
        </is>
      </c>
      <c r="B25" t="n">
        <v>-0.521</v>
      </c>
      <c r="C25" t="inlineStr">
        <is>
          <t>-3.719-2.677</t>
        </is>
      </c>
      <c r="D25" t="inlineStr">
        <is>
          <t>0.749</t>
        </is>
      </c>
    </row>
    <row r="26">
      <c r="A26" t="inlineStr"/>
      <c r="B26" t="inlineStr"/>
      <c r="C26" t="inlineStr"/>
      <c r="D26" t="inlineStr"/>
    </row>
    <row r="27">
      <c r="A27">
        <f>== [ Model: Base + Pathologic T ] ===</f>
        <v/>
      </c>
      <c r="B27" t="inlineStr"/>
      <c r="C27" t="inlineStr"/>
      <c r="D27" t="inlineStr"/>
    </row>
    <row r="28">
      <c r="A28" t="inlineStr">
        <is>
          <t>Dependent Variable (Y)</t>
        </is>
      </c>
      <c r="B28" t="inlineStr">
        <is>
          <t>ECT2expression</t>
        </is>
      </c>
      <c r="C28" t="inlineStr"/>
      <c r="D28" t="inlineStr"/>
    </row>
    <row r="29">
      <c r="A29" t="inlineStr">
        <is>
          <t>Model Formula</t>
        </is>
      </c>
      <c r="B29" t="inlineStr">
        <is>
          <t>ECT2expression ~ age + number_pack_years_smoked + C(gender) + C(pathologic_T)</t>
        </is>
      </c>
      <c r="C29" t="inlineStr"/>
      <c r="D29" t="inlineStr"/>
    </row>
    <row r="30">
      <c r="A30" t="inlineStr">
        <is>
          <t>R-squared</t>
        </is>
      </c>
      <c r="B30" t="inlineStr">
        <is>
          <t>0.0589</t>
        </is>
      </c>
      <c r="C30" t="inlineStr"/>
      <c r="D30" t="inlineStr"/>
    </row>
    <row r="31">
      <c r="A31" t="inlineStr">
        <is>
          <t>Prob (F-statistic)</t>
        </is>
      </c>
      <c r="B31" t="inlineStr">
        <is>
          <t>7.8048e-04</t>
        </is>
      </c>
      <c r="C31" t="inlineStr"/>
      <c r="D31" t="inlineStr"/>
    </row>
    <row r="32">
      <c r="A32" t="inlineStr">
        <is>
          <t>--- [ Coefficients ] ---</t>
        </is>
      </c>
      <c r="B32" t="inlineStr"/>
      <c r="C32" t="inlineStr"/>
      <c r="D32" t="inlineStr"/>
    </row>
    <row r="33">
      <c r="A33" t="inlineStr">
        <is>
          <t>Intercept</t>
        </is>
      </c>
      <c r="B33" t="n">
        <v>3418.203</v>
      </c>
      <c r="C33" t="inlineStr">
        <is>
          <t>2556.914-4279.492</t>
        </is>
      </c>
      <c r="D33" t="inlineStr">
        <is>
          <t>&lt;0.001</t>
        </is>
      </c>
    </row>
    <row r="34">
      <c r="A34" t="inlineStr">
        <is>
          <t>C(gender)[T.MALE]</t>
        </is>
      </c>
      <c r="B34" t="n">
        <v>165.114</v>
      </c>
      <c r="C34" t="inlineStr">
        <is>
          <t>-65.381-395.609</t>
        </is>
      </c>
      <c r="D34" t="inlineStr">
        <is>
          <t>0.160</t>
        </is>
      </c>
    </row>
    <row r="35">
      <c r="A35" t="inlineStr">
        <is>
          <t>C(pathologic_T)[T.2.0]</t>
        </is>
      </c>
      <c r="B35" t="n">
        <v>290.741</v>
      </c>
      <c r="C35" t="inlineStr">
        <is>
          <t>47.606-533.877</t>
        </is>
      </c>
      <c r="D35" t="inlineStr">
        <is>
          <t>0.019</t>
        </is>
      </c>
    </row>
    <row r="36">
      <c r="A36" t="inlineStr">
        <is>
          <t>C(pathologic_T)[T.3.0]</t>
        </is>
      </c>
      <c r="B36" t="n">
        <v>88.657</v>
      </c>
      <c r="C36" t="inlineStr">
        <is>
          <t>-251.163-428.477</t>
        </is>
      </c>
      <c r="D36" t="inlineStr">
        <is>
          <t>0.608</t>
        </is>
      </c>
    </row>
    <row r="37">
      <c r="A37" t="inlineStr">
        <is>
          <t>C(pathologic_T)[T.4.0]</t>
        </is>
      </c>
      <c r="B37" t="n">
        <v>82.672</v>
      </c>
      <c r="C37" t="inlineStr">
        <is>
          <t>-462.017-627.361</t>
        </is>
      </c>
      <c r="D37" t="inlineStr">
        <is>
          <t>0.766</t>
        </is>
      </c>
    </row>
    <row r="38">
      <c r="A38" t="inlineStr">
        <is>
          <t>age</t>
        </is>
      </c>
      <c r="B38" t="n">
        <v>-22.966</v>
      </c>
      <c r="C38" t="inlineStr">
        <is>
          <t>-35.004--10.927</t>
        </is>
      </c>
      <c r="D38" t="inlineStr">
        <is>
          <t>&lt;0.001</t>
        </is>
      </c>
    </row>
    <row r="39">
      <c r="A39" t="inlineStr">
        <is>
          <t>number_pack_years_smoked</t>
        </is>
      </c>
      <c r="B39" t="n">
        <v>-0.446</v>
      </c>
      <c r="C39" t="inlineStr">
        <is>
          <t>-3.618-2.725</t>
        </is>
      </c>
      <c r="D39" t="inlineStr">
        <is>
          <t>0.782</t>
        </is>
      </c>
    </row>
    <row r="40">
      <c r="A40" t="inlineStr"/>
      <c r="B40" t="inlineStr"/>
      <c r="C40" t="inlineStr"/>
      <c r="D40" t="inlineStr"/>
    </row>
    <row r="41">
      <c r="A41">
        <f>== [ Model: Base + Pathologic N ] ===</f>
        <v/>
      </c>
      <c r="B41" t="inlineStr"/>
      <c r="C41" t="inlineStr"/>
      <c r="D41" t="inlineStr"/>
    </row>
    <row r="42">
      <c r="A42" t="inlineStr">
        <is>
          <t>Dependent Variable (Y)</t>
        </is>
      </c>
      <c r="B42" t="inlineStr">
        <is>
          <t>ECT2expression</t>
        </is>
      </c>
      <c r="C42" t="inlineStr"/>
      <c r="D42" t="inlineStr"/>
    </row>
    <row r="43">
      <c r="A43" t="inlineStr">
        <is>
          <t>Model Formula</t>
        </is>
      </c>
      <c r="B43" t="inlineStr">
        <is>
          <t>ECT2expression ~ age + number_pack_years_smoked + C(gender) + C(pathologic_N)</t>
        </is>
      </c>
      <c r="C43" t="inlineStr"/>
      <c r="D43" t="inlineStr"/>
    </row>
    <row r="44">
      <c r="A44" t="inlineStr">
        <is>
          <t>R-squared</t>
        </is>
      </c>
      <c r="B44" t="inlineStr">
        <is>
          <t>0.0571</t>
        </is>
      </c>
      <c r="C44" t="inlineStr"/>
      <c r="D44" t="inlineStr"/>
    </row>
    <row r="45">
      <c r="A45" t="inlineStr">
        <is>
          <t>Prob (F-statistic)</t>
        </is>
      </c>
      <c r="B45" t="inlineStr">
        <is>
          <t>1.1881e-03</t>
        </is>
      </c>
      <c r="C45" t="inlineStr"/>
      <c r="D45" t="inlineStr"/>
    </row>
    <row r="46">
      <c r="A46" t="inlineStr">
        <is>
          <t>--- [ Coefficients ] ---</t>
        </is>
      </c>
      <c r="B46" t="inlineStr"/>
      <c r="C46" t="inlineStr"/>
      <c r="D46" t="inlineStr"/>
    </row>
    <row r="47">
      <c r="A47" t="inlineStr">
        <is>
          <t>Intercept</t>
        </is>
      </c>
      <c r="B47" t="n">
        <v>3363.764</v>
      </c>
      <c r="C47" t="inlineStr">
        <is>
          <t>2485.791-4241.737</t>
        </is>
      </c>
      <c r="D47" t="inlineStr">
        <is>
          <t>&lt;0.001</t>
        </is>
      </c>
    </row>
    <row r="48">
      <c r="A48" t="inlineStr">
        <is>
          <t>C(gender)[T.MALE]</t>
        </is>
      </c>
      <c r="B48" t="n">
        <v>209.684</v>
      </c>
      <c r="C48" t="inlineStr">
        <is>
          <t>-18.969-438.337</t>
        </is>
      </c>
      <c r="D48" t="inlineStr">
        <is>
          <t>0.072</t>
        </is>
      </c>
    </row>
    <row r="49">
      <c r="A49" t="inlineStr">
        <is>
          <t>C(pathologic_N)[T.1.0]</t>
        </is>
      </c>
      <c r="B49" t="n">
        <v>259.994</v>
      </c>
      <c r="C49" t="inlineStr">
        <is>
          <t>32.508-487.479</t>
        </is>
      </c>
      <c r="D49" t="inlineStr">
        <is>
          <t>0.025</t>
        </is>
      </c>
    </row>
    <row r="50">
      <c r="A50" t="inlineStr">
        <is>
          <t>C(pathologic_N)[T.2.0]</t>
        </is>
      </c>
      <c r="B50" t="n">
        <v>85.401</v>
      </c>
      <c r="C50" t="inlineStr">
        <is>
          <t>-299.407-470.208</t>
        </is>
      </c>
      <c r="D50" t="inlineStr">
        <is>
          <t>0.663</t>
        </is>
      </c>
    </row>
    <row r="51">
      <c r="A51" t="inlineStr">
        <is>
          <t>C(pathologic_N)[T.3.0]</t>
        </is>
      </c>
      <c r="B51" t="n">
        <v>401.61</v>
      </c>
      <c r="C51" t="inlineStr">
        <is>
          <t>-477.198-1280.418</t>
        </is>
      </c>
      <c r="D51" t="inlineStr">
        <is>
          <t>0.369</t>
        </is>
      </c>
    </row>
    <row r="52">
      <c r="A52" t="inlineStr">
        <is>
          <t>age</t>
        </is>
      </c>
      <c r="B52" t="n">
        <v>-21.229</v>
      </c>
      <c r="C52" t="inlineStr">
        <is>
          <t>-33.535--8.922</t>
        </is>
      </c>
      <c r="D52" t="inlineStr">
        <is>
          <t>&lt;0.001</t>
        </is>
      </c>
    </row>
    <row r="53">
      <c r="A53" t="inlineStr">
        <is>
          <t>number_pack_years_smoked</t>
        </is>
      </c>
      <c r="B53" t="n">
        <v>-0.255</v>
      </c>
      <c r="C53" t="inlineStr">
        <is>
          <t>-3.437-2.927</t>
        </is>
      </c>
      <c r="D53" t="inlineStr">
        <is>
          <t>0.875</t>
        </is>
      </c>
    </row>
    <row r="54">
      <c r="A54" t="inlineStr"/>
      <c r="B54" t="inlineStr"/>
      <c r="C54" t="inlineStr"/>
      <c r="D54" t="inlineStr"/>
    </row>
    <row r="55">
      <c r="A55">
        <f>== [ Model: Base + Pathologic M ] ===</f>
        <v/>
      </c>
      <c r="B55" t="inlineStr"/>
      <c r="C55" t="inlineStr"/>
      <c r="D55" t="inlineStr"/>
    </row>
    <row r="56">
      <c r="A56" t="inlineStr">
        <is>
          <t>Dependent Variable (Y)</t>
        </is>
      </c>
      <c r="B56" t="inlineStr">
        <is>
          <t>ECT2expression</t>
        </is>
      </c>
      <c r="C56" t="inlineStr"/>
      <c r="D56" t="inlineStr"/>
    </row>
    <row r="57">
      <c r="A57" t="inlineStr">
        <is>
          <t>Model Formula</t>
        </is>
      </c>
      <c r="B57" t="inlineStr">
        <is>
          <t>ECT2expression ~ age + number_pack_years_smoked + C(gender) + C(pathologic_M)</t>
        </is>
      </c>
      <c r="C57" t="inlineStr"/>
      <c r="D57" t="inlineStr"/>
    </row>
    <row r="58">
      <c r="A58" t="inlineStr">
        <is>
          <t>R-squared</t>
        </is>
      </c>
      <c r="B58" t="inlineStr">
        <is>
          <t>0.0435</t>
        </is>
      </c>
      <c r="C58" t="inlineStr"/>
      <c r="D58" t="inlineStr"/>
    </row>
    <row r="59">
      <c r="A59" t="inlineStr">
        <is>
          <t>Prob (F-statistic)</t>
        </is>
      </c>
      <c r="B59" t="inlineStr">
        <is>
          <t>6.5970e-03</t>
        </is>
      </c>
      <c r="C59" t="inlineStr"/>
      <c r="D59" t="inlineStr"/>
    </row>
    <row r="60">
      <c r="A60" t="inlineStr">
        <is>
          <t>--- [ Coefficients ] ---</t>
        </is>
      </c>
      <c r="B60" t="inlineStr"/>
      <c r="C60" t="inlineStr"/>
      <c r="D60" t="inlineStr"/>
    </row>
    <row r="61">
      <c r="A61" t="inlineStr">
        <is>
          <t>Intercept</t>
        </is>
      </c>
      <c r="B61" t="n">
        <v>3425.267</v>
      </c>
      <c r="C61" t="inlineStr">
        <is>
          <t>2476.04-4374.494</t>
        </is>
      </c>
      <c r="D61" t="inlineStr">
        <is>
          <t>&lt;0.001</t>
        </is>
      </c>
    </row>
    <row r="62">
      <c r="A62" t="inlineStr">
        <is>
          <t>C(gender)[T.MALE]</t>
        </is>
      </c>
      <c r="B62" t="n">
        <v>254.801</v>
      </c>
      <c r="C62" t="inlineStr">
        <is>
          <t>4.535-505.068</t>
        </is>
      </c>
      <c r="D62" t="inlineStr">
        <is>
          <t>0.046</t>
        </is>
      </c>
    </row>
    <row r="63">
      <c r="A63" t="inlineStr">
        <is>
          <t>C(pathologic_M)[T.1.0]</t>
        </is>
      </c>
      <c r="B63" t="n">
        <v>23.399</v>
      </c>
      <c r="C63" t="inlineStr">
        <is>
          <t>-777.385-824.183</t>
        </is>
      </c>
      <c r="D63" t="inlineStr">
        <is>
          <t>0.954</t>
        </is>
      </c>
    </row>
    <row r="64">
      <c r="A64" t="inlineStr">
        <is>
          <t>age</t>
        </is>
      </c>
      <c r="B64" t="n">
        <v>-20.793</v>
      </c>
      <c r="C64" t="inlineStr">
        <is>
          <t>-34.198--7.388</t>
        </is>
      </c>
      <c r="D64" t="inlineStr">
        <is>
          <t>0.002</t>
        </is>
      </c>
    </row>
    <row r="65">
      <c r="A65" t="inlineStr">
        <is>
          <t>number_pack_years_smoked</t>
        </is>
      </c>
      <c r="B65" t="n">
        <v>-0.837</v>
      </c>
      <c r="C65" t="inlineStr">
        <is>
          <t>-4.313-2.638</t>
        </is>
      </c>
      <c r="D65" t="inlineStr">
        <is>
          <t>0.636</t>
        </is>
      </c>
    </row>
    <row r="66">
      <c r="A66" t="inlineStr"/>
      <c r="B66" t="inlineStr"/>
      <c r="C66" t="inlineStr"/>
      <c r="D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ECT2</t>
        </is>
      </c>
      <c r="D2" t="inlineStr">
        <is>
          <t>5.442</t>
        </is>
      </c>
      <c r="E2" t="inlineStr">
        <is>
          <t>0.020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ECT2</t>
        </is>
      </c>
      <c r="D3" t="inlineStr">
        <is>
          <t>0.570</t>
        </is>
      </c>
      <c r="E3" t="inlineStr">
        <is>
          <t>0.450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2026-07-16T01:23:25Z</dcterms:created>
  <dcterms:modified xsi:type="dcterms:W3CDTF">2026-07-16T01:23:25Z</dcterms:modified>
</cp:coreProperties>
</file>
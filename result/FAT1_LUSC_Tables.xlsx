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/>
      <c r="C1" s="1" t="inlineStr">
        <is>
          <t>H</t>
        </is>
      </c>
      <c r="D1" s="1" t="inlineStr">
        <is>
          <t>High</t>
        </is>
      </c>
      <c r="E1" s="1" t="inlineStr">
        <is>
          <t>Low</t>
        </is>
      </c>
      <c r="F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  <c r="E2" t="inlineStr"/>
      <c r="F2" t="inlineStr"/>
    </row>
    <row r="3">
      <c r="A3" t="inlineStr">
        <is>
          <t xml:space="preserve">  0.0</t>
        </is>
      </c>
      <c r="B3" t="n">
        <v>15</v>
      </c>
      <c r="C3" t="n">
        <v>0</v>
      </c>
      <c r="D3" t="n">
        <v>64</v>
      </c>
      <c r="E3" t="n">
        <v>110</v>
      </c>
      <c r="F3" t="inlineStr">
        <is>
          <t>0.026</t>
        </is>
      </c>
    </row>
    <row r="4">
      <c r="A4" t="inlineStr">
        <is>
          <t xml:space="preserve">  1.0</t>
        </is>
      </c>
      <c r="B4" t="n">
        <v>29</v>
      </c>
      <c r="C4" t="n">
        <v>1</v>
      </c>
      <c r="D4" t="n">
        <v>136</v>
      </c>
      <c r="E4" t="n">
        <v>133</v>
      </c>
      <c r="F4" t="inlineStr"/>
    </row>
    <row r="5">
      <c r="A5" t="inlineStr">
        <is>
          <t>gender</t>
        </is>
      </c>
      <c r="B5" t="inlineStr"/>
      <c r="C5" t="inlineStr"/>
      <c r="D5" t="inlineStr"/>
      <c r="E5" t="inlineStr"/>
      <c r="F5" t="inlineStr"/>
    </row>
    <row r="6">
      <c r="A6" t="inlineStr">
        <is>
          <t xml:space="preserve">  FEMALE</t>
        </is>
      </c>
      <c r="B6" t="n">
        <v>11</v>
      </c>
      <c r="C6" t="n">
        <v>0</v>
      </c>
      <c r="D6" t="n">
        <v>44</v>
      </c>
      <c r="E6" t="n">
        <v>71</v>
      </c>
      <c r="F6" t="inlineStr">
        <is>
          <t>0.340</t>
        </is>
      </c>
    </row>
    <row r="7">
      <c r="A7" t="inlineStr">
        <is>
          <t xml:space="preserve">  MALE</t>
        </is>
      </c>
      <c r="B7" t="n">
        <v>33</v>
      </c>
      <c r="C7" t="n">
        <v>1</v>
      </c>
      <c r="D7" t="n">
        <v>156</v>
      </c>
      <c r="E7" t="n">
        <v>172</v>
      </c>
      <c r="F7" t="inlineStr"/>
    </row>
    <row r="8">
      <c r="A8" t="inlineStr">
        <is>
          <t>pathologic_stage</t>
        </is>
      </c>
      <c r="B8" t="inlineStr"/>
      <c r="C8" t="inlineStr"/>
      <c r="D8" t="inlineStr"/>
      <c r="E8" t="inlineStr"/>
      <c r="F8" t="inlineStr"/>
    </row>
    <row r="9">
      <c r="A9" t="inlineStr">
        <is>
          <t xml:space="preserve">  1.0</t>
        </is>
      </c>
      <c r="B9" t="n">
        <v>20</v>
      </c>
      <c r="C9" t="n">
        <v>1</v>
      </c>
      <c r="D9" t="n">
        <v>95</v>
      </c>
      <c r="E9" t="n">
        <v>122</v>
      </c>
      <c r="F9" t="inlineStr">
        <is>
          <t>0.457</t>
        </is>
      </c>
    </row>
    <row r="10">
      <c r="A10" t="inlineStr">
        <is>
          <t xml:space="preserve">  2.0</t>
        </is>
      </c>
      <c r="B10" t="n">
        <v>15</v>
      </c>
      <c r="C10" t="n">
        <v>0</v>
      </c>
      <c r="D10" t="n">
        <v>72</v>
      </c>
      <c r="E10" t="n">
        <v>69</v>
      </c>
      <c r="F10" t="inlineStr"/>
    </row>
    <row r="11">
      <c r="A11" t="inlineStr">
        <is>
          <t xml:space="preserve">  3.0</t>
        </is>
      </c>
      <c r="B11" t="n">
        <v>7</v>
      </c>
      <c r="C11" t="n">
        <v>0</v>
      </c>
      <c r="D11" t="n">
        <v>28</v>
      </c>
      <c r="E11" t="n">
        <v>48</v>
      </c>
      <c r="F11" t="inlineStr"/>
    </row>
    <row r="12">
      <c r="A12" t="inlineStr">
        <is>
          <t xml:space="preserve">  4.0</t>
        </is>
      </c>
      <c r="B12" t="n">
        <v>2</v>
      </c>
      <c r="C12" t="n">
        <v>0</v>
      </c>
      <c r="D12" t="n">
        <v>2</v>
      </c>
      <c r="E12" t="n">
        <v>3</v>
      </c>
      <c r="F12" t="inlineStr"/>
    </row>
    <row r="13">
      <c r="A13" t="inlineStr">
        <is>
          <t>pathologic_M</t>
        </is>
      </c>
      <c r="B13" t="inlineStr"/>
      <c r="C13" t="inlineStr"/>
      <c r="D13" t="inlineStr"/>
      <c r="E13" t="inlineStr"/>
      <c r="F13" t="inlineStr"/>
    </row>
    <row r="14">
      <c r="A14" t="inlineStr">
        <is>
          <t xml:space="preserve">  0.0</t>
        </is>
      </c>
      <c r="B14" t="n">
        <v>34</v>
      </c>
      <c r="C14" t="n">
        <v>0</v>
      </c>
      <c r="D14" t="n">
        <v>166</v>
      </c>
      <c r="E14" t="n">
        <v>201</v>
      </c>
      <c r="F14" t="inlineStr">
        <is>
          <t>0.174</t>
        </is>
      </c>
    </row>
    <row r="15">
      <c r="A15" t="inlineStr">
        <is>
          <t xml:space="preserve">  1.0</t>
        </is>
      </c>
      <c r="B15" t="n">
        <v>2</v>
      </c>
      <c r="C15" t="n">
        <v>0</v>
      </c>
      <c r="D15" t="n">
        <v>2</v>
      </c>
      <c r="E15" t="n">
        <v>3</v>
      </c>
      <c r="F15" t="inlineStr"/>
    </row>
    <row r="16">
      <c r="A16" t="inlineStr">
        <is>
          <t>pathologic_N</t>
        </is>
      </c>
      <c r="B16" t="inlineStr"/>
      <c r="C16" t="inlineStr"/>
      <c r="D16" t="inlineStr"/>
      <c r="E16" t="inlineStr"/>
      <c r="F16" t="inlineStr"/>
    </row>
    <row r="17">
      <c r="A17" t="inlineStr">
        <is>
          <t xml:space="preserve">  0.0</t>
        </is>
      </c>
      <c r="B17" t="n">
        <v>30</v>
      </c>
      <c r="C17" t="n">
        <v>1</v>
      </c>
      <c r="D17" t="n">
        <v>127</v>
      </c>
      <c r="E17" t="n">
        <v>153</v>
      </c>
      <c r="F17" t="inlineStr">
        <is>
          <t>0.942</t>
        </is>
      </c>
    </row>
    <row r="18">
      <c r="A18" t="inlineStr">
        <is>
          <t xml:space="preserve">  1.0</t>
        </is>
      </c>
      <c r="B18" t="n">
        <v>10</v>
      </c>
      <c r="C18" t="n">
        <v>0</v>
      </c>
      <c r="D18" t="n">
        <v>54</v>
      </c>
      <c r="E18" t="n">
        <v>62</v>
      </c>
      <c r="F18" t="inlineStr"/>
    </row>
    <row r="19">
      <c r="A19" t="inlineStr">
        <is>
          <t xml:space="preserve">  2.0</t>
        </is>
      </c>
      <c r="B19" t="n">
        <v>4</v>
      </c>
      <c r="C19" t="n">
        <v>0</v>
      </c>
      <c r="D19" t="n">
        <v>14</v>
      </c>
      <c r="E19" t="n">
        <v>22</v>
      </c>
      <c r="F19" t="inlineStr"/>
    </row>
    <row r="20">
      <c r="A20" t="inlineStr">
        <is>
          <t xml:space="preserve">  3.0</t>
        </is>
      </c>
      <c r="B20" t="n">
        <v>0</v>
      </c>
      <c r="C20" t="n">
        <v>0</v>
      </c>
      <c r="D20" t="n">
        <v>1</v>
      </c>
      <c r="E20" t="n">
        <v>4</v>
      </c>
      <c r="F20" t="inlineStr"/>
    </row>
    <row r="21">
      <c r="A21" t="inlineStr">
        <is>
          <t>pathologic_T</t>
        </is>
      </c>
      <c r="B21" t="inlineStr"/>
      <c r="C21" t="inlineStr"/>
      <c r="D21" t="inlineStr"/>
      <c r="E21" t="inlineStr"/>
      <c r="F21" t="inlineStr"/>
    </row>
    <row r="22">
      <c r="A22" t="inlineStr">
        <is>
          <t xml:space="preserve">  1.0</t>
        </is>
      </c>
      <c r="B22" t="n">
        <v>13</v>
      </c>
      <c r="C22" t="n">
        <v>0</v>
      </c>
      <c r="D22" t="n">
        <v>38</v>
      </c>
      <c r="E22" t="n">
        <v>58</v>
      </c>
      <c r="F22" t="inlineStr">
        <is>
          <t>0.678</t>
        </is>
      </c>
    </row>
    <row r="23">
      <c r="A23" t="inlineStr">
        <is>
          <t xml:space="preserve">  2.0</t>
        </is>
      </c>
      <c r="B23" t="n">
        <v>22</v>
      </c>
      <c r="C23" t="n">
        <v>1</v>
      </c>
      <c r="D23" t="n">
        <v>129</v>
      </c>
      <c r="E23" t="n">
        <v>134</v>
      </c>
      <c r="F23" t="inlineStr"/>
    </row>
    <row r="24">
      <c r="A24" t="inlineStr">
        <is>
          <t xml:space="preserve">  3.0</t>
        </is>
      </c>
      <c r="B24" t="n">
        <v>7</v>
      </c>
      <c r="C24" t="n">
        <v>0</v>
      </c>
      <c r="D24" t="n">
        <v>24</v>
      </c>
      <c r="E24" t="n">
        <v>39</v>
      </c>
      <c r="F24" t="inlineStr"/>
    </row>
    <row r="25">
      <c r="A25" t="inlineStr">
        <is>
          <t xml:space="preserve">  4.0</t>
        </is>
      </c>
      <c r="B25" t="n">
        <v>2</v>
      </c>
      <c r="C25" t="n">
        <v>0</v>
      </c>
      <c r="D25" t="n">
        <v>9</v>
      </c>
      <c r="E25" t="n">
        <v>12</v>
      </c>
      <c r="F25" t="inlineStr"/>
    </row>
    <row r="26">
      <c r="A26" t="inlineStr">
        <is>
          <t>SmokingStatus</t>
        </is>
      </c>
      <c r="B26" t="inlineStr"/>
      <c r="C26" t="inlineStr"/>
      <c r="D26" t="inlineStr"/>
      <c r="E26" t="inlineStr"/>
      <c r="F26" t="inlineStr"/>
    </row>
    <row r="27">
      <c r="A27" t="inlineStr">
        <is>
          <t xml:space="preserve">  0.0</t>
        </is>
      </c>
      <c r="B27" t="n">
        <v>9</v>
      </c>
      <c r="C27" t="n">
        <v>0</v>
      </c>
      <c r="D27" t="n">
        <v>32</v>
      </c>
      <c r="E27" t="n">
        <v>35</v>
      </c>
      <c r="F27" t="inlineStr">
        <is>
          <t>0.731</t>
        </is>
      </c>
    </row>
    <row r="28">
      <c r="A28" t="inlineStr">
        <is>
          <t xml:space="preserve">  1.0</t>
        </is>
      </c>
      <c r="B28" t="n">
        <v>35</v>
      </c>
      <c r="C28" t="n">
        <v>1</v>
      </c>
      <c r="D28" t="n">
        <v>168</v>
      </c>
      <c r="E28" t="n">
        <v>209</v>
      </c>
      <c r="F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FAT1expression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FAT1expression</t>
        </is>
      </c>
      <c r="B2" t="inlineStr">
        <is>
          <t>R</t>
        </is>
      </c>
      <c r="C2" t="inlineStr">
        <is>
          <t>1</t>
        </is>
      </c>
      <c r="D2" t="inlineStr">
        <is>
          <t>0.018</t>
        </is>
      </c>
      <c r="E2" t="inlineStr">
        <is>
          <t>0.114</t>
        </is>
      </c>
      <c r="F2" t="inlineStr">
        <is>
          <t>0.006</t>
        </is>
      </c>
      <c r="G2" t="inlineStr">
        <is>
          <t>-0.107</t>
        </is>
      </c>
      <c r="H2" t="inlineStr">
        <is>
          <t>-0.124</t>
        </is>
      </c>
      <c r="I2" t="inlineStr">
        <is>
          <t>0.076</t>
        </is>
      </c>
      <c r="J2" t="inlineStr">
        <is>
          <t>0.200</t>
        </is>
      </c>
    </row>
    <row r="3">
      <c r="A3" t="inlineStr"/>
      <c r="B3" t="inlineStr">
        <is>
          <t>P-value</t>
        </is>
      </c>
      <c r="C3" t="inlineStr"/>
      <c r="D3" t="inlineStr">
        <is>
          <t>0.723</t>
        </is>
      </c>
      <c r="E3" t="inlineStr">
        <is>
          <t>0.017</t>
        </is>
      </c>
      <c r="F3" t="inlineStr">
        <is>
          <t>0.901</t>
        </is>
      </c>
      <c r="G3" t="inlineStr">
        <is>
          <t>0.024</t>
        </is>
      </c>
      <c r="H3" t="inlineStr">
        <is>
          <t>0.009</t>
        </is>
      </c>
      <c r="I3" t="inlineStr">
        <is>
          <t>0.108</t>
        </is>
      </c>
      <c r="J3" t="inlineStr">
        <is>
          <t>&lt;0.001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0.018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0.723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0.114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0.017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0.006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0.901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-0.107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0.024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-0.124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0.009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0.076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0.108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0.200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&lt;0.001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1.021</v>
      </c>
      <c r="C2" t="n">
        <v>1.002</v>
      </c>
      <c r="D2" t="n">
        <v>1.04</v>
      </c>
      <c r="E2" t="inlineStr">
        <is>
          <t>0.029</t>
        </is>
      </c>
    </row>
    <row r="3">
      <c r="A3" t="inlineStr">
        <is>
          <t>number_pack_years_smoked</t>
        </is>
      </c>
      <c r="B3" t="n">
        <v>1</v>
      </c>
      <c r="C3" t="n">
        <v>0.996</v>
      </c>
      <c r="D3" t="n">
        <v>1.005</v>
      </c>
      <c r="E3" t="inlineStr">
        <is>
          <t>0.920</t>
        </is>
      </c>
    </row>
    <row r="4">
      <c r="A4" t="inlineStr">
        <is>
          <t>pathologic_stage</t>
        </is>
      </c>
      <c r="B4" t="n">
        <v>1.202</v>
      </c>
      <c r="C4" t="n">
        <v>1.003</v>
      </c>
      <c r="D4" t="n">
        <v>1.442</v>
      </c>
      <c r="E4" t="inlineStr">
        <is>
          <t>0.047</t>
        </is>
      </c>
    </row>
    <row r="5">
      <c r="A5" t="inlineStr">
        <is>
          <t>FAT1group_H</t>
        </is>
      </c>
      <c r="B5" t="n">
        <v>1.596</v>
      </c>
      <c r="C5" t="n">
        <v>0.207</v>
      </c>
      <c r="D5" t="n">
        <v>12.314</v>
      </c>
      <c r="E5" t="inlineStr">
        <is>
          <t>0.654</t>
        </is>
      </c>
    </row>
    <row r="6">
      <c r="A6" t="inlineStr">
        <is>
          <t>FAT1group_High</t>
        </is>
      </c>
      <c r="B6" t="n">
        <v>1.024</v>
      </c>
      <c r="C6" t="n">
        <v>0.61</v>
      </c>
      <c r="D6" t="n">
        <v>1.718</v>
      </c>
      <c r="E6" t="inlineStr">
        <is>
          <t>0.929</t>
        </is>
      </c>
    </row>
    <row r="7">
      <c r="A7" t="inlineStr">
        <is>
          <t>FAT1group_Low</t>
        </is>
      </c>
      <c r="B7" t="n">
        <v>0.755</v>
      </c>
      <c r="C7" t="n">
        <v>0.452</v>
      </c>
      <c r="D7" t="n">
        <v>1.261</v>
      </c>
      <c r="E7" t="inlineStr">
        <is>
          <t>0.283</t>
        </is>
      </c>
    </row>
    <row r="8">
      <c r="A8" t="inlineStr">
        <is>
          <t>gender_MALE</t>
        </is>
      </c>
      <c r="B8" t="n">
        <v>1.224</v>
      </c>
      <c r="C8" t="n">
        <v>0.864</v>
      </c>
      <c r="D8" t="n">
        <v>1.732</v>
      </c>
      <c r="E8" t="inlineStr">
        <is>
          <t>0.256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FAT1expression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FAT1expression ~ age + number_pack_years_smoked + pathologic_stage + C(gender)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0.0167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1.8023e-01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1617.3958</v>
      </c>
      <c r="C8" t="n">
        <v>-297.3177</v>
      </c>
      <c r="D8" t="n">
        <v>3532.1094</v>
      </c>
      <c r="E8" t="inlineStr">
        <is>
          <t>0.098</t>
        </is>
      </c>
    </row>
    <row r="9">
      <c r="A9" t="inlineStr">
        <is>
          <t>C(gender)[T.MALE]</t>
        </is>
      </c>
      <c r="B9" t="n">
        <v>254.4179</v>
      </c>
      <c r="C9" t="n">
        <v>-231.4554</v>
      </c>
      <c r="D9" t="n">
        <v>740.2913</v>
      </c>
      <c r="E9" t="inlineStr">
        <is>
          <t>0.304</t>
        </is>
      </c>
    </row>
    <row r="10">
      <c r="A10" t="inlineStr">
        <is>
          <t>age</t>
        </is>
      </c>
      <c r="B10" t="n">
        <v>29.2325</v>
      </c>
      <c r="C10" t="n">
        <v>3.2563</v>
      </c>
      <c r="D10" t="n">
        <v>55.2087</v>
      </c>
      <c r="E10" t="inlineStr">
        <is>
          <t>0.028</t>
        </is>
      </c>
    </row>
    <row r="11">
      <c r="A11" t="inlineStr">
        <is>
          <t>number_pack_years_smoked</t>
        </is>
      </c>
      <c r="B11" t="n">
        <v>0.523</v>
      </c>
      <c r="C11" t="n">
        <v>-6.4573</v>
      </c>
      <c r="D11" t="n">
        <v>7.5032</v>
      </c>
      <c r="E11" t="inlineStr">
        <is>
          <t>0.883</t>
        </is>
      </c>
    </row>
    <row r="12">
      <c r="A12" t="inlineStr">
        <is>
          <t>pathologic_stage</t>
        </is>
      </c>
      <c r="B12" t="n">
        <v>-41.3497</v>
      </c>
      <c r="C12" t="n">
        <v>-314.1214</v>
      </c>
      <c r="D12" t="n">
        <v>231.422</v>
      </c>
      <c r="E12" t="inlineStr">
        <is>
          <t>0.766</t>
        </is>
      </c>
    </row>
    <row r="13">
      <c r="A13" t="inlineStr"/>
      <c r="B13" t="inlineStr"/>
      <c r="C13" t="inlineStr"/>
      <c r="D13" t="inlineStr"/>
      <c r="E13" t="inlineStr"/>
    </row>
    <row r="14">
      <c r="A14">
        <f>== [ Model: Base + Pathologic T ] ===</f>
        <v/>
      </c>
      <c r="B14" t="inlineStr"/>
      <c r="C14" t="inlineStr"/>
      <c r="D14" t="inlineStr"/>
      <c r="E14" t="inlineStr"/>
    </row>
    <row r="15">
      <c r="A15" t="inlineStr">
        <is>
          <t>Dependent Variable (Y)</t>
        </is>
      </c>
      <c r="B15" t="inlineStr">
        <is>
          <t>FAT1expression</t>
        </is>
      </c>
      <c r="C15" t="inlineStr"/>
      <c r="D15" t="inlineStr"/>
      <c r="E15" t="inlineStr"/>
    </row>
    <row r="16">
      <c r="A16" t="inlineStr">
        <is>
          <t>Model Formula</t>
        </is>
      </c>
      <c r="B16" t="inlineStr">
        <is>
          <t>FAT1expression ~ age + number_pack_years_smoked + pathologic_stage + C(gender) + C(pathologic_T)</t>
        </is>
      </c>
      <c r="C16" t="inlineStr"/>
      <c r="D16" t="inlineStr"/>
      <c r="E16" t="inlineStr"/>
    </row>
    <row r="17">
      <c r="A17" t="inlineStr">
        <is>
          <t>R-squared</t>
        </is>
      </c>
      <c r="B17" t="inlineStr">
        <is>
          <t>0.0252</t>
        </is>
      </c>
      <c r="C17" t="inlineStr"/>
      <c r="D17" t="inlineStr"/>
      <c r="E17" t="inlineStr"/>
    </row>
    <row r="18">
      <c r="A18" t="inlineStr">
        <is>
          <t>Prob (F-statistic)</t>
        </is>
      </c>
      <c r="B18" t="inlineStr">
        <is>
          <t>2.2440e-01</t>
        </is>
      </c>
      <c r="C18" t="inlineStr"/>
      <c r="D18" t="inlineStr"/>
      <c r="E18" t="inlineStr"/>
    </row>
    <row r="19">
      <c r="A19" t="inlineStr">
        <is>
          <t>--- [ Coefficients ] ---</t>
        </is>
      </c>
      <c r="B19" t="inlineStr"/>
      <c r="C19" t="inlineStr"/>
      <c r="D19" t="inlineStr"/>
      <c r="E19" t="inlineStr"/>
    </row>
    <row r="20">
      <c r="A20" t="inlineStr">
        <is>
          <t>Intercept</t>
        </is>
      </c>
      <c r="B20" t="n">
        <v>1345.4284</v>
      </c>
      <c r="C20" t="n">
        <v>-604.9032</v>
      </c>
      <c r="D20" t="n">
        <v>3295.76</v>
      </c>
      <c r="E20" t="inlineStr">
        <is>
          <t>0.176</t>
        </is>
      </c>
    </row>
    <row r="21">
      <c r="A21" t="inlineStr">
        <is>
          <t>C(gender)[T.MALE]</t>
        </is>
      </c>
      <c r="B21" t="n">
        <v>202.8292</v>
      </c>
      <c r="C21" t="n">
        <v>-287.3633</v>
      </c>
      <c r="D21" t="n">
        <v>693.0216</v>
      </c>
      <c r="E21" t="inlineStr">
        <is>
          <t>0.416</t>
        </is>
      </c>
    </row>
    <row r="22">
      <c r="A22" t="inlineStr">
        <is>
          <t>C(pathologic_T)[T.2.0]</t>
        </is>
      </c>
      <c r="B22" t="n">
        <v>412.7471</v>
      </c>
      <c r="C22" t="n">
        <v>-133.5957</v>
      </c>
      <c r="D22" t="n">
        <v>959.0898</v>
      </c>
      <c r="E22" t="inlineStr">
        <is>
          <t>0.138</t>
        </is>
      </c>
    </row>
    <row r="23">
      <c r="A23" t="inlineStr">
        <is>
          <t>C(pathologic_T)[T.3.0]</t>
        </is>
      </c>
      <c r="B23" t="n">
        <v>113.3668</v>
      </c>
      <c r="C23" t="n">
        <v>-749.5174</v>
      </c>
      <c r="D23" t="n">
        <v>976.2509</v>
      </c>
      <c r="E23" t="inlineStr">
        <is>
          <t>0.796</t>
        </is>
      </c>
    </row>
    <row r="24">
      <c r="A24" t="inlineStr">
        <is>
          <t>C(pathologic_T)[T.4.0]</t>
        </is>
      </c>
      <c r="B24" t="n">
        <v>-137.4484</v>
      </c>
      <c r="C24" t="n">
        <v>-1457.6134</v>
      </c>
      <c r="D24" t="n">
        <v>1182.7166</v>
      </c>
      <c r="E24" t="inlineStr">
        <is>
          <t>0.838</t>
        </is>
      </c>
    </row>
    <row r="25">
      <c r="A25" t="inlineStr">
        <is>
          <t>age</t>
        </is>
      </c>
      <c r="B25" t="n">
        <v>29.0212</v>
      </c>
      <c r="C25" t="n">
        <v>2.9099</v>
      </c>
      <c r="D25" t="n">
        <v>55.1325</v>
      </c>
      <c r="E25" t="inlineStr">
        <is>
          <t>0.029</t>
        </is>
      </c>
    </row>
    <row r="26">
      <c r="A26" t="inlineStr">
        <is>
          <t>number_pack_years_smoked</t>
        </is>
      </c>
      <c r="B26" t="n">
        <v>0.6377</v>
      </c>
      <c r="C26" t="n">
        <v>-6.3545</v>
      </c>
      <c r="D26" t="n">
        <v>7.6299</v>
      </c>
      <c r="E26" t="inlineStr">
        <is>
          <t>0.858</t>
        </is>
      </c>
    </row>
    <row r="27">
      <c r="A27" t="inlineStr">
        <is>
          <t>pathologic_stage</t>
        </is>
      </c>
      <c r="B27" t="n">
        <v>-7.9443</v>
      </c>
      <c r="C27" t="n">
        <v>-344.2605</v>
      </c>
      <c r="D27" t="n">
        <v>328.3719</v>
      </c>
      <c r="E27" t="inlineStr">
        <is>
          <t>0.963</t>
        </is>
      </c>
    </row>
    <row r="28">
      <c r="A28" t="inlineStr"/>
      <c r="B28" t="inlineStr"/>
      <c r="C28" t="inlineStr"/>
      <c r="D28" t="inlineStr"/>
      <c r="E28" t="inlineStr"/>
    </row>
    <row r="29">
      <c r="A29">
        <f>== [ Model: Base + Pathologic N ] ===</f>
        <v/>
      </c>
      <c r="B29" t="inlineStr"/>
      <c r="C29" t="inlineStr"/>
      <c r="D29" t="inlineStr"/>
      <c r="E29" t="inlineStr"/>
    </row>
    <row r="30">
      <c r="A30" t="inlineStr">
        <is>
          <t>Dependent Variable (Y)</t>
        </is>
      </c>
      <c r="B30" t="inlineStr">
        <is>
          <t>FAT1expression</t>
        </is>
      </c>
      <c r="C30" t="inlineStr"/>
      <c r="D30" t="inlineStr"/>
      <c r="E30" t="inlineStr"/>
    </row>
    <row r="31">
      <c r="A31" t="inlineStr">
        <is>
          <t>Model Formula</t>
        </is>
      </c>
      <c r="B31" t="inlineStr">
        <is>
          <t>FAT1expression ~ age + number_pack_years_smoked + pathologic_stage + C(gender) + C(pathologic_N)</t>
        </is>
      </c>
      <c r="C31" t="inlineStr"/>
      <c r="D31" t="inlineStr"/>
      <c r="E31" t="inlineStr"/>
    </row>
    <row r="32">
      <c r="A32" t="inlineStr">
        <is>
          <t>R-squared</t>
        </is>
      </c>
      <c r="B32" t="inlineStr">
        <is>
          <t>0.0270</t>
        </is>
      </c>
      <c r="C32" t="inlineStr"/>
      <c r="D32" t="inlineStr"/>
      <c r="E32" t="inlineStr"/>
    </row>
    <row r="33">
      <c r="A33" t="inlineStr">
        <is>
          <t>Prob (F-statistic)</t>
        </is>
      </c>
      <c r="B33" t="inlineStr">
        <is>
          <t>1.8904e-01</t>
        </is>
      </c>
      <c r="C33" t="inlineStr"/>
      <c r="D33" t="inlineStr"/>
      <c r="E33" t="inlineStr"/>
    </row>
    <row r="34">
      <c r="A34" t="inlineStr">
        <is>
          <t>--- [ Coefficients ] ---</t>
        </is>
      </c>
      <c r="B34" t="inlineStr"/>
      <c r="C34" t="inlineStr"/>
      <c r="D34" t="inlineStr"/>
      <c r="E34" t="inlineStr"/>
    </row>
    <row r="35">
      <c r="A35" t="inlineStr">
        <is>
          <t>Intercept</t>
        </is>
      </c>
      <c r="B35" t="n">
        <v>1734.0277</v>
      </c>
      <c r="C35" t="n">
        <v>-212.9535</v>
      </c>
      <c r="D35" t="n">
        <v>3681.0088</v>
      </c>
      <c r="E35" t="inlineStr">
        <is>
          <t>0.081</t>
        </is>
      </c>
    </row>
    <row r="36">
      <c r="A36" t="inlineStr">
        <is>
          <t>C(gender)[T.MALE]</t>
        </is>
      </c>
      <c r="B36" t="n">
        <v>256.2397</v>
      </c>
      <c r="C36" t="n">
        <v>-231.4476</v>
      </c>
      <c r="D36" t="n">
        <v>743.9271</v>
      </c>
      <c r="E36" t="inlineStr">
        <is>
          <t>0.302</t>
        </is>
      </c>
    </row>
    <row r="37">
      <c r="A37" t="inlineStr">
        <is>
          <t>C(pathologic_N)[T.1.0]</t>
        </is>
      </c>
      <c r="B37" t="n">
        <v>364.8938</v>
      </c>
      <c r="C37" t="n">
        <v>-304.0984</v>
      </c>
      <c r="D37" t="n">
        <v>1033.8859</v>
      </c>
      <c r="E37" t="inlineStr">
        <is>
          <t>0.284</t>
        </is>
      </c>
    </row>
    <row r="38">
      <c r="A38" t="inlineStr">
        <is>
          <t>C(pathologic_N)[T.2.0]</t>
        </is>
      </c>
      <c r="B38" t="n">
        <v>286.9821</v>
      </c>
      <c r="C38" t="n">
        <v>-841.8081</v>
      </c>
      <c r="D38" t="n">
        <v>1415.7724</v>
      </c>
      <c r="E38" t="inlineStr">
        <is>
          <t>0.617</t>
        </is>
      </c>
    </row>
    <row r="39">
      <c r="A39" t="inlineStr">
        <is>
          <t>C(pathologic_N)[T.3.0]</t>
        </is>
      </c>
      <c r="B39" t="n">
        <v>-1423.1931</v>
      </c>
      <c r="C39" t="n">
        <v>-3440.2646</v>
      </c>
      <c r="D39" t="n">
        <v>593.8784000000001</v>
      </c>
      <c r="E39" t="inlineStr">
        <is>
          <t>0.166</t>
        </is>
      </c>
    </row>
    <row r="40">
      <c r="A40" t="inlineStr">
        <is>
          <t>age</t>
        </is>
      </c>
      <c r="B40" t="n">
        <v>29.1434</v>
      </c>
      <c r="C40" t="n">
        <v>2.6672</v>
      </c>
      <c r="D40" t="n">
        <v>55.6197</v>
      </c>
      <c r="E40" t="inlineStr">
        <is>
          <t>0.031</t>
        </is>
      </c>
    </row>
    <row r="41">
      <c r="A41" t="inlineStr">
        <is>
          <t>number_pack_years_smoked</t>
        </is>
      </c>
      <c r="B41" t="n">
        <v>0.0539</v>
      </c>
      <c r="C41" t="n">
        <v>-6.9384</v>
      </c>
      <c r="D41" t="n">
        <v>7.0462</v>
      </c>
      <c r="E41" t="inlineStr">
        <is>
          <t>0.988</t>
        </is>
      </c>
    </row>
    <row r="42">
      <c r="A42" t="inlineStr">
        <is>
          <t>pathologic_stage</t>
        </is>
      </c>
      <c r="B42" t="n">
        <v>-161.0707</v>
      </c>
      <c r="C42" t="n">
        <v>-603.7436</v>
      </c>
      <c r="D42" t="n">
        <v>281.6022</v>
      </c>
      <c r="E42" t="inlineStr">
        <is>
          <t>0.475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Base +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FAT1expression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FAT1expression ~ age + number_pack_years_smoked + pathologic_stage + C(gender)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0.0207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2.5655e-01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1198.7172</v>
      </c>
      <c r="C50" t="n">
        <v>-991.3101</v>
      </c>
      <c r="D50" t="n">
        <v>3388.7445</v>
      </c>
      <c r="E50" t="inlineStr">
        <is>
          <t>0.282</t>
        </is>
      </c>
    </row>
    <row r="51">
      <c r="A51" t="inlineStr">
        <is>
          <t>C(gender)[T.MALE]</t>
        </is>
      </c>
      <c r="B51" t="n">
        <v>374.5121</v>
      </c>
      <c r="C51" t="n">
        <v>-168.5072</v>
      </c>
      <c r="D51" t="n">
        <v>917.5314</v>
      </c>
      <c r="E51" t="inlineStr">
        <is>
          <t>0.176</t>
        </is>
      </c>
    </row>
    <row r="52">
      <c r="A52" t="inlineStr">
        <is>
          <t>C(pathologic_M)[T.1.0]</t>
        </is>
      </c>
      <c r="B52" t="n">
        <v>-10.19</v>
      </c>
      <c r="C52" t="n">
        <v>-2257.5408</v>
      </c>
      <c r="D52" t="n">
        <v>2237.1608</v>
      </c>
      <c r="E52" t="inlineStr">
        <is>
          <t>0.993</t>
        </is>
      </c>
    </row>
    <row r="53">
      <c r="A53" t="inlineStr">
        <is>
          <t>age</t>
        </is>
      </c>
      <c r="B53" t="n">
        <v>32.0019</v>
      </c>
      <c r="C53" t="n">
        <v>2.4734</v>
      </c>
      <c r="D53" t="n">
        <v>61.5303</v>
      </c>
      <c r="E53" t="inlineStr">
        <is>
          <t>0.034</t>
        </is>
      </c>
    </row>
    <row r="54">
      <c r="A54" t="inlineStr">
        <is>
          <t>number_pack_years_smoked</t>
        </is>
      </c>
      <c r="B54" t="n">
        <v>1.6448</v>
      </c>
      <c r="C54" t="n">
        <v>-6.2088</v>
      </c>
      <c r="D54" t="n">
        <v>9.4983</v>
      </c>
      <c r="E54" t="inlineStr">
        <is>
          <t>0.681</t>
        </is>
      </c>
    </row>
    <row r="55">
      <c r="A55" t="inlineStr">
        <is>
          <t>pathologic_stage</t>
        </is>
      </c>
      <c r="B55" t="n">
        <v>-2.463</v>
      </c>
      <c r="C55" t="n">
        <v>-316.7788</v>
      </c>
      <c r="D55" t="n">
        <v>311.8528</v>
      </c>
      <c r="E55" t="inlineStr">
        <is>
          <t>0.988</t>
        </is>
      </c>
    </row>
    <row r="56">
      <c r="A56" t="inlineStr"/>
      <c r="B56" t="inlineStr"/>
      <c r="C56" t="inlineStr"/>
      <c r="D56" t="inlineStr"/>
      <c r="E5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FAT1</t>
        </is>
      </c>
      <c r="D2" t="inlineStr">
        <is>
          <t>2.423</t>
        </is>
      </c>
      <c r="E2" t="inlineStr">
        <is>
          <t>0.120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FAT1</t>
        </is>
      </c>
      <c r="D3" t="inlineStr">
        <is>
          <t>2.487</t>
        </is>
      </c>
      <c r="E3" t="inlineStr">
        <is>
          <t>0.115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2026-06-30T06:56:02Z</dcterms:created>
  <dcterms:modified xsi:type="dcterms:W3CDTF">2026-06-30T06:56:02Z</dcterms:modified>
</cp:coreProperties>
</file>
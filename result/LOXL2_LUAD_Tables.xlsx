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 1 (Chi-square)" sheetId="1" state="visible" r:id="rId1"/>
    <sheet name="Table 2 (Correlation)" sheetId="2" state="visible" r:id="rId2"/>
    <sheet name="Table 3 (Cox)" sheetId="3" state="visible" r:id="rId3"/>
    <sheet name="Table 4 (Multivariate OLS)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Characteristics</t>
        </is>
      </c>
      <c r="B1" s="1" t="inlineStr">
        <is>
          <t>High</t>
        </is>
      </c>
      <c r="C1" s="1" t="inlineStr">
        <is>
          <t>Low</t>
        </is>
      </c>
      <c r="D1" s="1" t="inlineStr">
        <is>
          <t>P-value</t>
        </is>
      </c>
    </row>
    <row r="2">
      <c r="A2" t="inlineStr">
        <is>
          <t>ageG</t>
        </is>
      </c>
      <c r="B2" t="inlineStr"/>
      <c r="C2" t="inlineStr"/>
      <c r="D2" t="inlineStr"/>
    </row>
    <row r="3">
      <c r="A3" t="inlineStr">
        <is>
          <t xml:space="preserve">  0.0</t>
        </is>
      </c>
      <c r="B3" t="n">
        <v>136</v>
      </c>
      <c r="C3" t="n">
        <v>100</v>
      </c>
      <c r="D3" t="inlineStr">
        <is>
          <t>0.002</t>
        </is>
      </c>
    </row>
    <row r="4">
      <c r="A4" t="inlineStr">
        <is>
          <t xml:space="preserve">  1.0</t>
        </is>
      </c>
      <c r="B4" t="n">
        <v>109</v>
      </c>
      <c r="C4" t="n">
        <v>145</v>
      </c>
      <c r="D4" t="inlineStr"/>
    </row>
    <row r="5">
      <c r="A5" t="inlineStr">
        <is>
          <t>gender</t>
        </is>
      </c>
      <c r="B5" t="inlineStr"/>
      <c r="C5" t="inlineStr"/>
      <c r="D5" t="inlineStr"/>
    </row>
    <row r="6">
      <c r="A6" t="inlineStr">
        <is>
          <t>  </t>
        </is>
      </c>
      <c r="B6" t="n">
        <v>1</v>
      </c>
      <c r="C6" t="n">
        <v>1</v>
      </c>
      <c r="D6" t="inlineStr">
        <is>
          <t>0.984</t>
        </is>
      </c>
    </row>
    <row r="7">
      <c r="A7" t="inlineStr">
        <is>
          <t xml:space="preserve">  FEMALE</t>
        </is>
      </c>
      <c r="B7" t="n">
        <v>134</v>
      </c>
      <c r="C7" t="n">
        <v>132</v>
      </c>
      <c r="D7" t="inlineStr"/>
    </row>
    <row r="8">
      <c r="A8" t="inlineStr">
        <is>
          <t xml:space="preserve">  MALE</t>
        </is>
      </c>
      <c r="B8" t="n">
        <v>111</v>
      </c>
      <c r="C8" t="n">
        <v>113</v>
      </c>
      <c r="D8" t="inlineStr"/>
    </row>
    <row r="9">
      <c r="A9" t="inlineStr">
        <is>
          <t>pathologic_stage</t>
        </is>
      </c>
      <c r="B9" t="inlineStr"/>
      <c r="C9" t="inlineStr"/>
      <c r="D9" t="inlineStr"/>
    </row>
    <row r="10">
      <c r="A10" t="inlineStr">
        <is>
          <t xml:space="preserve">  1.0</t>
        </is>
      </c>
      <c r="B10" t="n">
        <v>112</v>
      </c>
      <c r="C10" t="n">
        <v>150</v>
      </c>
      <c r="D10" t="inlineStr">
        <is>
          <t>&lt;0.001</t>
        </is>
      </c>
    </row>
    <row r="11">
      <c r="A11" t="inlineStr">
        <is>
          <t xml:space="preserve">  2.0</t>
        </is>
      </c>
      <c r="B11" t="n">
        <v>60</v>
      </c>
      <c r="C11" t="n">
        <v>57</v>
      </c>
      <c r="D11" t="inlineStr"/>
    </row>
    <row r="12">
      <c r="A12" t="inlineStr">
        <is>
          <t xml:space="preserve">  3.0</t>
        </is>
      </c>
      <c r="B12" t="n">
        <v>56</v>
      </c>
      <c r="C12" t="n">
        <v>23</v>
      </c>
      <c r="D12" t="inlineStr"/>
    </row>
    <row r="13">
      <c r="A13" t="inlineStr">
        <is>
          <t xml:space="preserve">  4.0</t>
        </is>
      </c>
      <c r="B13" t="n">
        <v>13</v>
      </c>
      <c r="C13" t="n">
        <v>11</v>
      </c>
      <c r="D13" t="inlineStr"/>
    </row>
    <row r="14">
      <c r="A14" t="inlineStr">
        <is>
          <t>pathologic_M</t>
        </is>
      </c>
      <c r="B14" t="inlineStr"/>
      <c r="C14" t="inlineStr"/>
      <c r="D14" t="inlineStr"/>
    </row>
    <row r="15">
      <c r="A15" t="inlineStr">
        <is>
          <t xml:space="preserve">  0.0</t>
        </is>
      </c>
      <c r="B15" t="n">
        <v>162</v>
      </c>
      <c r="C15" t="n">
        <v>160</v>
      </c>
      <c r="D15" t="inlineStr">
        <is>
          <t>0.878</t>
        </is>
      </c>
    </row>
    <row r="16">
      <c r="A16" t="inlineStr">
        <is>
          <t xml:space="preserve">  1.0</t>
        </is>
      </c>
      <c r="B16" t="n">
        <v>13</v>
      </c>
      <c r="C16" t="n">
        <v>11</v>
      </c>
      <c r="D16" t="inlineStr"/>
    </row>
    <row r="17">
      <c r="A17" t="inlineStr">
        <is>
          <t>pathologic_N</t>
        </is>
      </c>
      <c r="B17" t="inlineStr"/>
      <c r="C17" t="inlineStr"/>
      <c r="D17" t="inlineStr"/>
    </row>
    <row r="18">
      <c r="A18" t="inlineStr">
        <is>
          <t xml:space="preserve">  0.0</t>
        </is>
      </c>
      <c r="B18" t="n">
        <v>142</v>
      </c>
      <c r="C18" t="n">
        <v>174</v>
      </c>
      <c r="D18" t="inlineStr">
        <is>
          <t>0.004</t>
        </is>
      </c>
    </row>
    <row r="19">
      <c r="A19" t="inlineStr">
        <is>
          <t xml:space="preserve">  1.0</t>
        </is>
      </c>
      <c r="B19" t="n">
        <v>51</v>
      </c>
      <c r="C19" t="n">
        <v>42</v>
      </c>
      <c r="D19" t="inlineStr"/>
    </row>
    <row r="20">
      <c r="A20" t="inlineStr">
        <is>
          <t xml:space="preserve">  2.0</t>
        </is>
      </c>
      <c r="B20" t="n">
        <v>45</v>
      </c>
      <c r="C20" t="n">
        <v>23</v>
      </c>
      <c r="D20" t="inlineStr"/>
    </row>
    <row r="21">
      <c r="A21" t="inlineStr">
        <is>
          <t xml:space="preserve">  3.0</t>
        </is>
      </c>
      <c r="B21" t="n">
        <v>2</v>
      </c>
      <c r="C21" t="n">
        <v>0</v>
      </c>
      <c r="D21" t="inlineStr"/>
    </row>
    <row r="22">
      <c r="A22" t="inlineStr">
        <is>
          <t>pathologic_T</t>
        </is>
      </c>
      <c r="B22" t="inlineStr"/>
      <c r="C22" t="inlineStr"/>
      <c r="D22" t="inlineStr"/>
    </row>
    <row r="23">
      <c r="A23" t="inlineStr">
        <is>
          <t xml:space="preserve">  1.0</t>
        </is>
      </c>
      <c r="B23" t="n">
        <v>66</v>
      </c>
      <c r="C23" t="n">
        <v>98</v>
      </c>
      <c r="D23" t="inlineStr">
        <is>
          <t>0.003</t>
        </is>
      </c>
    </row>
    <row r="24">
      <c r="A24" t="inlineStr">
        <is>
          <t xml:space="preserve">  2.0</t>
        </is>
      </c>
      <c r="B24" t="n">
        <v>137</v>
      </c>
      <c r="C24" t="n">
        <v>123</v>
      </c>
      <c r="D24" t="inlineStr"/>
    </row>
    <row r="25">
      <c r="A25" t="inlineStr">
        <is>
          <t xml:space="preserve">  3.0</t>
        </is>
      </c>
      <c r="B25" t="n">
        <v>26</v>
      </c>
      <c r="C25" t="n">
        <v>19</v>
      </c>
      <c r="D25" t="inlineStr"/>
    </row>
    <row r="26">
      <c r="A26" t="inlineStr">
        <is>
          <t xml:space="preserve">  4.0</t>
        </is>
      </c>
      <c r="B26" t="n">
        <v>14</v>
      </c>
      <c r="C26" t="n">
        <v>4</v>
      </c>
      <c r="D26" t="inlineStr"/>
    </row>
    <row r="27">
      <c r="A27" t="inlineStr">
        <is>
          <t>SmokingStatus</t>
        </is>
      </c>
      <c r="B27" t="inlineStr"/>
      <c r="C27" t="inlineStr"/>
      <c r="D27" t="inlineStr"/>
    </row>
    <row r="28">
      <c r="A28" t="inlineStr">
        <is>
          <t xml:space="preserve">  0.0</t>
        </is>
      </c>
      <c r="B28" t="n">
        <v>82</v>
      </c>
      <c r="C28" t="n">
        <v>77</v>
      </c>
      <c r="D28" t="inlineStr">
        <is>
          <t>0.700</t>
        </is>
      </c>
    </row>
    <row r="29">
      <c r="A29" t="inlineStr">
        <is>
          <t xml:space="preserve">  1.0</t>
        </is>
      </c>
      <c r="B29" t="n">
        <v>164</v>
      </c>
      <c r="C29" t="n">
        <v>169</v>
      </c>
      <c r="D29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Stat</t>
        </is>
      </c>
      <c r="C1" s="1" t="inlineStr">
        <is>
          <t>LOXL2expression</t>
        </is>
      </c>
      <c r="D1" s="1" t="inlineStr">
        <is>
          <t>number_pack_years_smoked</t>
        </is>
      </c>
      <c r="E1" s="1" t="inlineStr">
        <is>
          <t>KrasExpression</t>
        </is>
      </c>
      <c r="F1" s="1" t="inlineStr">
        <is>
          <t>TP53Expression</t>
        </is>
      </c>
      <c r="G1" s="1" t="inlineStr">
        <is>
          <t>ALKExpression</t>
        </is>
      </c>
      <c r="H1" s="1" t="inlineStr">
        <is>
          <t>BRAFExpression</t>
        </is>
      </c>
      <c r="I1" s="1" t="inlineStr">
        <is>
          <t>age_at_initial_pathologic_diagnosis</t>
        </is>
      </c>
    </row>
    <row r="2">
      <c r="A2" t="inlineStr">
        <is>
          <t>LOXL2expression</t>
        </is>
      </c>
      <c r="B2" t="inlineStr">
        <is>
          <t>R</t>
        </is>
      </c>
      <c r="C2" t="inlineStr">
        <is>
          <t>1</t>
        </is>
      </c>
      <c r="D2" t="inlineStr">
        <is>
          <t>0.032</t>
        </is>
      </c>
      <c r="E2" t="inlineStr">
        <is>
          <t>0.026</t>
        </is>
      </c>
      <c r="F2" t="inlineStr">
        <is>
          <t>-0.169</t>
        </is>
      </c>
      <c r="G2" t="inlineStr">
        <is>
          <t>-0.042</t>
        </is>
      </c>
      <c r="H2" t="inlineStr">
        <is>
          <t>-0.022</t>
        </is>
      </c>
      <c r="I2" t="inlineStr">
        <is>
          <t>-0.038</t>
        </is>
      </c>
    </row>
    <row r="3">
      <c r="A3" t="inlineStr"/>
      <c r="B3" t="inlineStr">
        <is>
          <t>P</t>
        </is>
      </c>
      <c r="C3" t="inlineStr"/>
      <c r="D3" t="inlineStr">
        <is>
          <t>0.558</t>
        </is>
      </c>
      <c r="E3" t="inlineStr">
        <is>
          <t>0.630</t>
        </is>
      </c>
      <c r="F3" t="inlineStr">
        <is>
          <t>0.002</t>
        </is>
      </c>
      <c r="G3" t="inlineStr">
        <is>
          <t>0.447</t>
        </is>
      </c>
      <c r="H3" t="inlineStr">
        <is>
          <t>0.686</t>
        </is>
      </c>
      <c r="I3" t="inlineStr">
        <is>
          <t>0.490</t>
        </is>
      </c>
    </row>
    <row r="4">
      <c r="A4" t="inlineStr">
        <is>
          <t>number_pack_years_smoked</t>
        </is>
      </c>
      <c r="B4" t="inlineStr">
        <is>
          <t>R</t>
        </is>
      </c>
      <c r="C4" t="inlineStr">
        <is>
          <t>0.032</t>
        </is>
      </c>
      <c r="D4" t="inlineStr">
        <is>
          <t>1</t>
        </is>
      </c>
      <c r="E4" t="inlineStr">
        <is>
          <t>-0.039</t>
        </is>
      </c>
      <c r="F4" t="inlineStr">
        <is>
          <t>0.046</t>
        </is>
      </c>
      <c r="G4" t="inlineStr">
        <is>
          <t>0.010</t>
        </is>
      </c>
      <c r="H4" t="inlineStr">
        <is>
          <t>-0.016</t>
        </is>
      </c>
      <c r="I4" t="inlineStr">
        <is>
          <t>0.074</t>
        </is>
      </c>
    </row>
    <row r="5">
      <c r="A5" t="inlineStr"/>
      <c r="B5" t="inlineStr">
        <is>
          <t>P</t>
        </is>
      </c>
      <c r="C5" t="inlineStr">
        <is>
          <t>0.558</t>
        </is>
      </c>
      <c r="D5" t="inlineStr"/>
      <c r="E5" t="inlineStr">
        <is>
          <t>0.482</t>
        </is>
      </c>
      <c r="F5" t="inlineStr">
        <is>
          <t>0.408</t>
        </is>
      </c>
      <c r="G5" t="inlineStr">
        <is>
          <t>0.859</t>
        </is>
      </c>
      <c r="H5" t="inlineStr">
        <is>
          <t>0.774</t>
        </is>
      </c>
      <c r="I5" t="inlineStr">
        <is>
          <t>0.181</t>
        </is>
      </c>
    </row>
    <row r="6">
      <c r="A6" t="inlineStr">
        <is>
          <t>KrasExpression</t>
        </is>
      </c>
      <c r="B6" t="inlineStr">
        <is>
          <t>R</t>
        </is>
      </c>
      <c r="C6" t="inlineStr">
        <is>
          <t>0.026</t>
        </is>
      </c>
      <c r="D6" t="inlineStr">
        <is>
          <t>-0.039</t>
        </is>
      </c>
      <c r="E6" t="inlineStr">
        <is>
          <t>1</t>
        </is>
      </c>
      <c r="F6" t="inlineStr">
        <is>
          <t>-0.063</t>
        </is>
      </c>
      <c r="G6" t="inlineStr">
        <is>
          <t>0.006</t>
        </is>
      </c>
      <c r="H6" t="inlineStr">
        <is>
          <t>0.065</t>
        </is>
      </c>
      <c r="I6" t="inlineStr">
        <is>
          <t>-0.040</t>
        </is>
      </c>
    </row>
    <row r="7">
      <c r="A7" t="inlineStr"/>
      <c r="B7" t="inlineStr">
        <is>
          <t>P</t>
        </is>
      </c>
      <c r="C7" t="inlineStr">
        <is>
          <t>0.630</t>
        </is>
      </c>
      <c r="D7" t="inlineStr">
        <is>
          <t>0.482</t>
        </is>
      </c>
      <c r="E7" t="inlineStr"/>
      <c r="F7" t="inlineStr">
        <is>
          <t>0.250</t>
        </is>
      </c>
      <c r="G7" t="inlineStr">
        <is>
          <t>0.913</t>
        </is>
      </c>
      <c r="H7" t="inlineStr">
        <is>
          <t>0.239</t>
        </is>
      </c>
      <c r="I7" t="inlineStr">
        <is>
          <t>0.468</t>
        </is>
      </c>
    </row>
    <row r="8">
      <c r="A8" t="inlineStr">
        <is>
          <t>TP53Expression</t>
        </is>
      </c>
      <c r="B8" t="inlineStr">
        <is>
          <t>R</t>
        </is>
      </c>
      <c r="C8" t="inlineStr">
        <is>
          <t>-0.169</t>
        </is>
      </c>
      <c r="D8" t="inlineStr">
        <is>
          <t>0.046</t>
        </is>
      </c>
      <c r="E8" t="inlineStr">
        <is>
          <t>-0.063</t>
        </is>
      </c>
      <c r="F8" t="inlineStr">
        <is>
          <t>1</t>
        </is>
      </c>
      <c r="G8" t="inlineStr">
        <is>
          <t>0.062</t>
        </is>
      </c>
      <c r="H8" t="inlineStr">
        <is>
          <t>0.037</t>
        </is>
      </c>
      <c r="I8" t="inlineStr">
        <is>
          <t>0.122</t>
        </is>
      </c>
    </row>
    <row r="9">
      <c r="A9" t="inlineStr"/>
      <c r="B9" t="inlineStr">
        <is>
          <t>P</t>
        </is>
      </c>
      <c r="C9" t="inlineStr">
        <is>
          <t>0.002</t>
        </is>
      </c>
      <c r="D9" t="inlineStr">
        <is>
          <t>0.408</t>
        </is>
      </c>
      <c r="E9" t="inlineStr">
        <is>
          <t>0.250</t>
        </is>
      </c>
      <c r="F9" t="inlineStr"/>
      <c r="G9" t="inlineStr">
        <is>
          <t>0.257</t>
        </is>
      </c>
      <c r="H9" t="inlineStr">
        <is>
          <t>0.504</t>
        </is>
      </c>
      <c r="I9" t="inlineStr">
        <is>
          <t>0.026</t>
        </is>
      </c>
    </row>
    <row r="10">
      <c r="A10" t="inlineStr">
        <is>
          <t>ALKExpression</t>
        </is>
      </c>
      <c r="B10" t="inlineStr">
        <is>
          <t>R</t>
        </is>
      </c>
      <c r="C10" t="inlineStr">
        <is>
          <t>-0.042</t>
        </is>
      </c>
      <c r="D10" t="inlineStr">
        <is>
          <t>0.010</t>
        </is>
      </c>
      <c r="E10" t="inlineStr">
        <is>
          <t>0.006</t>
        </is>
      </c>
      <c r="F10" t="inlineStr">
        <is>
          <t>0.062</t>
        </is>
      </c>
      <c r="G10" t="inlineStr">
        <is>
          <t>1</t>
        </is>
      </c>
      <c r="H10" t="inlineStr">
        <is>
          <t>0.005</t>
        </is>
      </c>
      <c r="I10" t="inlineStr">
        <is>
          <t>-0.069</t>
        </is>
      </c>
    </row>
    <row r="11">
      <c r="A11" t="inlineStr"/>
      <c r="B11" t="inlineStr">
        <is>
          <t>P</t>
        </is>
      </c>
      <c r="C11" t="inlineStr">
        <is>
          <t>0.447</t>
        </is>
      </c>
      <c r="D11" t="inlineStr">
        <is>
          <t>0.859</t>
        </is>
      </c>
      <c r="E11" t="inlineStr">
        <is>
          <t>0.913</t>
        </is>
      </c>
      <c r="F11" t="inlineStr">
        <is>
          <t>0.257</t>
        </is>
      </c>
      <c r="G11" t="inlineStr"/>
      <c r="H11" t="inlineStr">
        <is>
          <t>0.928</t>
        </is>
      </c>
      <c r="I11" t="inlineStr">
        <is>
          <t>0.212</t>
        </is>
      </c>
    </row>
    <row r="12">
      <c r="A12" t="inlineStr">
        <is>
          <t>BRAFExpression</t>
        </is>
      </c>
      <c r="B12" t="inlineStr">
        <is>
          <t>R</t>
        </is>
      </c>
      <c r="C12" t="inlineStr">
        <is>
          <t>-0.022</t>
        </is>
      </c>
      <c r="D12" t="inlineStr">
        <is>
          <t>-0.016</t>
        </is>
      </c>
      <c r="E12" t="inlineStr">
        <is>
          <t>0.065</t>
        </is>
      </c>
      <c r="F12" t="inlineStr">
        <is>
          <t>0.037</t>
        </is>
      </c>
      <c r="G12" t="inlineStr">
        <is>
          <t>0.005</t>
        </is>
      </c>
      <c r="H12" t="inlineStr">
        <is>
          <t>1</t>
        </is>
      </c>
      <c r="I12" t="inlineStr">
        <is>
          <t>-0.055</t>
        </is>
      </c>
    </row>
    <row r="13">
      <c r="A13" t="inlineStr"/>
      <c r="B13" t="inlineStr">
        <is>
          <t>P</t>
        </is>
      </c>
      <c r="C13" t="inlineStr">
        <is>
          <t>0.686</t>
        </is>
      </c>
      <c r="D13" t="inlineStr">
        <is>
          <t>0.774</t>
        </is>
      </c>
      <c r="E13" t="inlineStr">
        <is>
          <t>0.239</t>
        </is>
      </c>
      <c r="F13" t="inlineStr">
        <is>
          <t>0.504</t>
        </is>
      </c>
      <c r="G13" t="inlineStr">
        <is>
          <t>0.928</t>
        </is>
      </c>
      <c r="H13" t="inlineStr"/>
      <c r="I13" t="inlineStr">
        <is>
          <t>0.317</t>
        </is>
      </c>
    </row>
    <row r="14">
      <c r="A14" t="inlineStr">
        <is>
          <t>age_at_initial_pathologic_diagnosis</t>
        </is>
      </c>
      <c r="B14" t="inlineStr">
        <is>
          <t>R</t>
        </is>
      </c>
      <c r="C14" t="inlineStr">
        <is>
          <t>-0.038</t>
        </is>
      </c>
      <c r="D14" t="inlineStr">
        <is>
          <t>0.074</t>
        </is>
      </c>
      <c r="E14" t="inlineStr">
        <is>
          <t>-0.040</t>
        </is>
      </c>
      <c r="F14" t="inlineStr">
        <is>
          <t>0.122</t>
        </is>
      </c>
      <c r="G14" t="inlineStr">
        <is>
          <t>-0.069</t>
        </is>
      </c>
      <c r="H14" t="inlineStr">
        <is>
          <t>-0.055</t>
        </is>
      </c>
      <c r="I14" t="inlineStr">
        <is>
          <t>1</t>
        </is>
      </c>
    </row>
    <row r="15">
      <c r="A15" t="inlineStr"/>
      <c r="B15" t="inlineStr">
        <is>
          <t>P</t>
        </is>
      </c>
      <c r="C15" t="inlineStr">
        <is>
          <t>0.490</t>
        </is>
      </c>
      <c r="D15" t="inlineStr">
        <is>
          <t>0.181</t>
        </is>
      </c>
      <c r="E15" t="inlineStr">
        <is>
          <t>0.468</t>
        </is>
      </c>
      <c r="F15" t="inlineStr">
        <is>
          <t>0.026</t>
        </is>
      </c>
      <c r="G15" t="inlineStr">
        <is>
          <t>0.212</t>
        </is>
      </c>
      <c r="H15" t="inlineStr">
        <is>
          <t>0.317</t>
        </is>
      </c>
      <c r="I15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P-value</t>
        </is>
      </c>
    </row>
    <row r="2">
      <c r="A2" t="inlineStr">
        <is>
          <t>age_at_initial_pathologic_diagnosis</t>
        </is>
      </c>
      <c r="B2" t="n">
        <v>1.013</v>
      </c>
      <c r="C2" t="inlineStr">
        <is>
          <t>0.202</t>
        </is>
      </c>
    </row>
    <row r="3">
      <c r="A3" t="inlineStr">
        <is>
          <t>number_pack_years_smoked</t>
        </is>
      </c>
      <c r="B3" t="n">
        <v>1</v>
      </c>
      <c r="C3" t="inlineStr">
        <is>
          <t>0.970</t>
        </is>
      </c>
    </row>
    <row r="4">
      <c r="A4" t="inlineStr">
        <is>
          <t>LOXL2group_Low</t>
        </is>
      </c>
      <c r="B4" t="n">
        <v>0.704</v>
      </c>
      <c r="C4" t="inlineStr">
        <is>
          <t>0.073</t>
        </is>
      </c>
    </row>
    <row r="5">
      <c r="A5" t="inlineStr">
        <is>
          <t>gender_MALE</t>
        </is>
      </c>
      <c r="B5" t="n">
        <v>1.276</v>
      </c>
      <c r="C5" t="inlineStr">
        <is>
          <t>0.220</t>
        </is>
      </c>
    </row>
    <row r="6">
      <c r="A6" t="inlineStr">
        <is>
          <t>pathologic_stage_2.0</t>
        </is>
      </c>
      <c r="B6" t="n">
        <v>2.059</v>
      </c>
      <c r="C6" t="inlineStr">
        <is>
          <t>0.002</t>
        </is>
      </c>
    </row>
    <row r="7">
      <c r="A7" t="inlineStr">
        <is>
          <t>pathologic_stage_3.0</t>
        </is>
      </c>
      <c r="B7" t="n">
        <v>2.544</v>
      </c>
      <c r="C7" t="inlineStr">
        <is>
          <t>&lt;0.001</t>
        </is>
      </c>
    </row>
    <row r="8">
      <c r="A8" t="inlineStr">
        <is>
          <t>pathologic_stage_4.0</t>
        </is>
      </c>
      <c r="B8" t="n">
        <v>2.692</v>
      </c>
      <c r="C8" t="inlineStr">
        <is>
          <t>0.006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Coefficient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>
        <f>== [ Model: Pathologic Stage ] ===</f>
        <v/>
      </c>
      <c r="B2" t="inlineStr"/>
      <c r="C2" t="inlineStr"/>
      <c r="D2" t="inlineStr"/>
      <c r="E2" t="inlineStr"/>
    </row>
    <row r="3">
      <c r="A3" t="inlineStr">
        <is>
          <t>Dependent Variable (Y)</t>
        </is>
      </c>
      <c r="B3" t="inlineStr">
        <is>
          <t>LOXL2expression</t>
        </is>
      </c>
      <c r="C3" t="inlineStr"/>
      <c r="D3" t="inlineStr"/>
      <c r="E3" t="inlineStr"/>
    </row>
    <row r="4">
      <c r="A4" t="inlineStr">
        <is>
          <t>Model Formula</t>
        </is>
      </c>
      <c r="B4" t="inlineStr">
        <is>
          <t>LOXL2expression ~ age_at_initial_pathologic_diagnosis + C(gender) + number_pack_years_smoked + C(pathologic_stage)</t>
        </is>
      </c>
      <c r="C4" t="inlineStr"/>
      <c r="D4" t="inlineStr"/>
      <c r="E4" t="inlineStr"/>
    </row>
    <row r="5">
      <c r="A5" t="inlineStr">
        <is>
          <t>R-squared</t>
        </is>
      </c>
      <c r="B5" t="inlineStr">
        <is>
          <t>0.0259</t>
        </is>
      </c>
      <c r="C5" t="inlineStr"/>
      <c r="D5" t="inlineStr"/>
      <c r="E5" t="inlineStr"/>
    </row>
    <row r="6">
      <c r="A6" t="inlineStr">
        <is>
          <t>Prob (F-statistic)</t>
        </is>
      </c>
      <c r="B6" t="inlineStr">
        <is>
          <t>2.0242e-01</t>
        </is>
      </c>
      <c r="C6" t="inlineStr"/>
      <c r="D6" t="inlineStr"/>
      <c r="E6" t="inlineStr"/>
    </row>
    <row r="7">
      <c r="A7" t="inlineStr">
        <is>
          <t>--- [ Coefficients ] ---</t>
        </is>
      </c>
      <c r="B7" t="inlineStr"/>
      <c r="C7" t="inlineStr"/>
      <c r="D7" t="inlineStr"/>
      <c r="E7" t="inlineStr"/>
    </row>
    <row r="8">
      <c r="A8" t="inlineStr">
        <is>
          <t>Intercept</t>
        </is>
      </c>
      <c r="B8" t="n">
        <v>1498.0037</v>
      </c>
      <c r="C8" t="n">
        <v>-106.4074</v>
      </c>
      <c r="D8" t="n">
        <v>3102.4148</v>
      </c>
      <c r="E8" t="inlineStr">
        <is>
          <t>0.067</t>
        </is>
      </c>
    </row>
    <row r="9">
      <c r="A9" t="inlineStr">
        <is>
          <t>C(gender)[T.MALE]</t>
        </is>
      </c>
      <c r="B9" t="n">
        <v>225.6179</v>
      </c>
      <c r="C9" t="n">
        <v>-262.9497</v>
      </c>
      <c r="D9" t="n">
        <v>714.1855</v>
      </c>
      <c r="E9" t="inlineStr">
        <is>
          <t>0.364</t>
        </is>
      </c>
    </row>
    <row r="10">
      <c r="A10" t="inlineStr">
        <is>
          <t>C(pathologic_stage)[T.2.0]</t>
        </is>
      </c>
      <c r="B10" t="n">
        <v>442.8355</v>
      </c>
      <c r="C10" t="n">
        <v>-144.2395</v>
      </c>
      <c r="D10" t="n">
        <v>1029.9106</v>
      </c>
      <c r="E10" t="inlineStr">
        <is>
          <t>0.139</t>
        </is>
      </c>
    </row>
    <row r="11">
      <c r="A11" t="inlineStr">
        <is>
          <t>C(pathologic_stage)[T.3.0]</t>
        </is>
      </c>
      <c r="B11" t="n">
        <v>720.606</v>
      </c>
      <c r="C11" t="n">
        <v>66.2675</v>
      </c>
      <c r="D11" t="n">
        <v>1374.9446</v>
      </c>
      <c r="E11" t="inlineStr">
        <is>
          <t>0.031</t>
        </is>
      </c>
    </row>
    <row r="12">
      <c r="A12" t="inlineStr">
        <is>
          <t>C(pathologic_stage)[T.4.0]</t>
        </is>
      </c>
      <c r="B12" t="n">
        <v>-283.4505</v>
      </c>
      <c r="C12" t="n">
        <v>-1374.2909</v>
      </c>
      <c r="D12" t="n">
        <v>807.3899</v>
      </c>
      <c r="E12" t="inlineStr">
        <is>
          <t>0.610</t>
        </is>
      </c>
    </row>
    <row r="13">
      <c r="A13" t="inlineStr">
        <is>
          <t>age_at_initial_pathologic_diagnosis</t>
        </is>
      </c>
      <c r="B13" t="n">
        <v>-9.2821</v>
      </c>
      <c r="C13" t="n">
        <v>-32.9869</v>
      </c>
      <c r="D13" t="n">
        <v>14.4226</v>
      </c>
      <c r="E13" t="inlineStr">
        <is>
          <t>0.442</t>
        </is>
      </c>
    </row>
    <row r="14">
      <c r="A14" t="inlineStr">
        <is>
          <t>number_pack_years_smoked</t>
        </is>
      </c>
      <c r="B14" t="n">
        <v>2.8753</v>
      </c>
      <c r="C14" t="n">
        <v>-5.9695</v>
      </c>
      <c r="D14" t="n">
        <v>11.7201</v>
      </c>
      <c r="E14" t="inlineStr">
        <is>
          <t>0.523</t>
        </is>
      </c>
    </row>
    <row r="15">
      <c r="A15" t="inlineStr"/>
      <c r="B15" t="inlineStr"/>
      <c r="C15" t="inlineStr"/>
      <c r="D15" t="inlineStr"/>
      <c r="E15" t="inlineStr"/>
    </row>
    <row r="16">
      <c r="A16">
        <f>== [ Model: Pathologic T ] ===</f>
        <v/>
      </c>
      <c r="B16" t="inlineStr"/>
      <c r="C16" t="inlineStr"/>
      <c r="D16" t="inlineStr"/>
      <c r="E16" t="inlineStr"/>
    </row>
    <row r="17">
      <c r="A17" t="inlineStr">
        <is>
          <t>Dependent Variable (Y)</t>
        </is>
      </c>
      <c r="B17" t="inlineStr">
        <is>
          <t>LOXL2expression</t>
        </is>
      </c>
      <c r="C17" t="inlineStr"/>
      <c r="D17" t="inlineStr"/>
      <c r="E17" t="inlineStr"/>
    </row>
    <row r="18">
      <c r="A18" t="inlineStr">
        <is>
          <t>Model Formula</t>
        </is>
      </c>
      <c r="B18" t="inlineStr">
        <is>
          <t>LOXL2expression ~ age_at_initial_pathologic_diagnosis + C(gender) + number_pack_years_smoked + C(pathologic_T)</t>
        </is>
      </c>
      <c r="C18" t="inlineStr"/>
      <c r="D18" t="inlineStr"/>
      <c r="E18" t="inlineStr"/>
    </row>
    <row r="19">
      <c r="A19" t="inlineStr">
        <is>
          <t>R-squared</t>
        </is>
      </c>
      <c r="B19" t="inlineStr">
        <is>
          <t>0.0557</t>
        </is>
      </c>
      <c r="C19" t="inlineStr"/>
      <c r="D19" t="inlineStr"/>
      <c r="E19" t="inlineStr"/>
    </row>
    <row r="20">
      <c r="A20" t="inlineStr">
        <is>
          <t>Prob (F-statistic)</t>
        </is>
      </c>
      <c r="B20" t="inlineStr">
        <is>
          <t>4.5391e-03</t>
        </is>
      </c>
      <c r="C20" t="inlineStr"/>
      <c r="D20" t="inlineStr"/>
      <c r="E20" t="inlineStr"/>
    </row>
    <row r="21">
      <c r="A21" t="inlineStr">
        <is>
          <t>--- [ Coefficients ] ---</t>
        </is>
      </c>
      <c r="B21" t="inlineStr"/>
      <c r="C21" t="inlineStr"/>
      <c r="D21" t="inlineStr"/>
      <c r="E21" t="inlineStr"/>
    </row>
    <row r="22">
      <c r="A22" t="inlineStr">
        <is>
          <t>Intercept</t>
        </is>
      </c>
      <c r="B22" t="n">
        <v>1250.014</v>
      </c>
      <c r="C22" t="n">
        <v>-324.6758</v>
      </c>
      <c r="D22" t="n">
        <v>2824.7038</v>
      </c>
      <c r="E22" t="inlineStr">
        <is>
          <t>0.119</t>
        </is>
      </c>
    </row>
    <row r="23">
      <c r="A23" t="inlineStr">
        <is>
          <t>C(gender)[T.MALE]</t>
        </is>
      </c>
      <c r="B23" t="n">
        <v>210.6152</v>
      </c>
      <c r="C23" t="n">
        <v>-272.1504</v>
      </c>
      <c r="D23" t="n">
        <v>693.3808</v>
      </c>
      <c r="E23" t="inlineStr">
        <is>
          <t>0.391</t>
        </is>
      </c>
    </row>
    <row r="24">
      <c r="A24" t="inlineStr">
        <is>
          <t>C(pathologic_T)[T.2.0]</t>
        </is>
      </c>
      <c r="B24" t="n">
        <v>331.8812</v>
      </c>
      <c r="C24" t="n">
        <v>-182.993</v>
      </c>
      <c r="D24" t="n">
        <v>846.7554</v>
      </c>
      <c r="E24" t="inlineStr">
        <is>
          <t>0.206</t>
        </is>
      </c>
    </row>
    <row r="25">
      <c r="A25" t="inlineStr">
        <is>
          <t>C(pathologic_T)[T.3.0]</t>
        </is>
      </c>
      <c r="B25" t="n">
        <v>469.7984</v>
      </c>
      <c r="C25" t="n">
        <v>-398.6164</v>
      </c>
      <c r="D25" t="n">
        <v>1338.2131</v>
      </c>
      <c r="E25" t="inlineStr">
        <is>
          <t>0.288</t>
        </is>
      </c>
    </row>
    <row r="26">
      <c r="A26" t="inlineStr">
        <is>
          <t>C(pathologic_T)[T.4.0]</t>
        </is>
      </c>
      <c r="B26" t="n">
        <v>2551.5376</v>
      </c>
      <c r="C26" t="n">
        <v>1323.9678</v>
      </c>
      <c r="D26" t="n">
        <v>3779.1074</v>
      </c>
      <c r="E26" t="inlineStr">
        <is>
          <t>&lt;0.001</t>
        </is>
      </c>
    </row>
    <row r="27">
      <c r="A27" t="inlineStr">
        <is>
          <t>age_at_initial_pathologic_diagnosis</t>
        </is>
      </c>
      <c r="B27" t="n">
        <v>-5.9705</v>
      </c>
      <c r="C27" t="n">
        <v>-28.9454</v>
      </c>
      <c r="D27" t="n">
        <v>17.0044</v>
      </c>
      <c r="E27" t="inlineStr">
        <is>
          <t>0.610</t>
        </is>
      </c>
    </row>
    <row r="28">
      <c r="A28" t="inlineStr">
        <is>
          <t>number_pack_years_smoked</t>
        </is>
      </c>
      <c r="B28" t="n">
        <v>1.1983</v>
      </c>
      <c r="C28" t="n">
        <v>-7.4503</v>
      </c>
      <c r="D28" t="n">
        <v>9.847</v>
      </c>
      <c r="E28" t="inlineStr">
        <is>
          <t>0.785</t>
        </is>
      </c>
    </row>
    <row r="29">
      <c r="A29" t="inlineStr"/>
      <c r="B29" t="inlineStr"/>
      <c r="C29" t="inlineStr"/>
      <c r="D29" t="inlineStr"/>
      <c r="E29" t="inlineStr"/>
    </row>
    <row r="30">
      <c r="A30">
        <f>== [ Model: Pathologic N ] ===</f>
        <v/>
      </c>
      <c r="B30" t="inlineStr"/>
      <c r="C30" t="inlineStr"/>
      <c r="D30" t="inlineStr"/>
      <c r="E30" t="inlineStr"/>
    </row>
    <row r="31">
      <c r="A31" t="inlineStr">
        <is>
          <t>Dependent Variable (Y)</t>
        </is>
      </c>
      <c r="B31" t="inlineStr">
        <is>
          <t>LOXL2expression</t>
        </is>
      </c>
      <c r="C31" t="inlineStr"/>
      <c r="D31" t="inlineStr"/>
      <c r="E31" t="inlineStr"/>
    </row>
    <row r="32">
      <c r="A32" t="inlineStr">
        <is>
          <t>Model Formula</t>
        </is>
      </c>
      <c r="B32" t="inlineStr">
        <is>
          <t>LOXL2expression ~ age_at_initial_pathologic_diagnosis + C(gender) + number_pack_years_smoked + C(pathologic_N)</t>
        </is>
      </c>
      <c r="C32" t="inlineStr"/>
      <c r="D32" t="inlineStr"/>
      <c r="E32" t="inlineStr"/>
    </row>
    <row r="33">
      <c r="A33" t="inlineStr">
        <is>
          <t>R-squared</t>
        </is>
      </c>
      <c r="B33" t="inlineStr">
        <is>
          <t>0.0204</t>
        </is>
      </c>
      <c r="C33" t="inlineStr"/>
      <c r="D33" t="inlineStr"/>
      <c r="E33" t="inlineStr"/>
    </row>
    <row r="34">
      <c r="A34" t="inlineStr">
        <is>
          <t>Prob (F-statistic)</t>
        </is>
      </c>
      <c r="B34" t="inlineStr">
        <is>
          <t>3.5372e-01</t>
        </is>
      </c>
      <c r="C34" t="inlineStr"/>
      <c r="D34" t="inlineStr"/>
      <c r="E34" t="inlineStr"/>
    </row>
    <row r="35">
      <c r="A35" t="inlineStr">
        <is>
          <t>--- [ Coefficients ] ---</t>
        </is>
      </c>
      <c r="B35" t="inlineStr"/>
      <c r="C35" t="inlineStr"/>
      <c r="D35" t="inlineStr"/>
      <c r="E35" t="inlineStr"/>
    </row>
    <row r="36">
      <c r="A36" t="inlineStr">
        <is>
          <t>Intercept</t>
        </is>
      </c>
      <c r="B36" t="n">
        <v>1540.4159</v>
      </c>
      <c r="C36" t="n">
        <v>-68.9648</v>
      </c>
      <c r="D36" t="n">
        <v>3149.7966</v>
      </c>
      <c r="E36" t="inlineStr">
        <is>
          <t>0.061</t>
        </is>
      </c>
    </row>
    <row r="37">
      <c r="A37" t="inlineStr">
        <is>
          <t>C(gender)[T.MALE]</t>
        </is>
      </c>
      <c r="B37" t="n">
        <v>233.666</v>
      </c>
      <c r="C37" t="n">
        <v>-257.4589</v>
      </c>
      <c r="D37" t="n">
        <v>724.7909</v>
      </c>
      <c r="E37" t="inlineStr">
        <is>
          <t>0.350</t>
        </is>
      </c>
    </row>
    <row r="38">
      <c r="A38" t="inlineStr">
        <is>
          <t>C(pathologic_N)[T.1.0]</t>
        </is>
      </c>
      <c r="B38" t="n">
        <v>388.6574</v>
      </c>
      <c r="C38" t="n">
        <v>-231.4286</v>
      </c>
      <c r="D38" t="n">
        <v>1008.7434</v>
      </c>
      <c r="E38" t="inlineStr">
        <is>
          <t>0.218</t>
        </is>
      </c>
    </row>
    <row r="39">
      <c r="A39" t="inlineStr">
        <is>
          <t>C(pathologic_N)[T.2.0]</t>
        </is>
      </c>
      <c r="B39" t="n">
        <v>679.6734</v>
      </c>
      <c r="C39" t="n">
        <v>-14.1054</v>
      </c>
      <c r="D39" t="n">
        <v>1373.4523</v>
      </c>
      <c r="E39" t="inlineStr">
        <is>
          <t>0.055</t>
        </is>
      </c>
    </row>
    <row r="40">
      <c r="A40" t="inlineStr">
        <is>
          <t>C(pathologic_N)[T.3.0]</t>
        </is>
      </c>
      <c r="B40" t="n">
        <v>232.0588</v>
      </c>
      <c r="C40" t="n">
        <v>-2830.1495</v>
      </c>
      <c r="D40" t="n">
        <v>3294.2671</v>
      </c>
      <c r="E40" t="inlineStr">
        <is>
          <t>0.882</t>
        </is>
      </c>
    </row>
    <row r="41">
      <c r="A41" t="inlineStr">
        <is>
          <t>age_at_initial_pathologic_diagnosis</t>
        </is>
      </c>
      <c r="B41" t="n">
        <v>-9.206899999999999</v>
      </c>
      <c r="C41" t="n">
        <v>-33.1664</v>
      </c>
      <c r="D41" t="n">
        <v>14.7526</v>
      </c>
      <c r="E41" t="inlineStr">
        <is>
          <t>0.450</t>
        </is>
      </c>
    </row>
    <row r="42">
      <c r="A42" t="inlineStr">
        <is>
          <t>number_pack_years_smoked</t>
        </is>
      </c>
      <c r="B42" t="n">
        <v>2.4761</v>
      </c>
      <c r="C42" t="n">
        <v>-6.447</v>
      </c>
      <c r="D42" t="n">
        <v>11.3991</v>
      </c>
      <c r="E42" t="inlineStr">
        <is>
          <t>0.585</t>
        </is>
      </c>
    </row>
    <row r="43">
      <c r="A43" t="inlineStr"/>
      <c r="B43" t="inlineStr"/>
      <c r="C43" t="inlineStr"/>
      <c r="D43" t="inlineStr"/>
      <c r="E43" t="inlineStr"/>
    </row>
    <row r="44">
      <c r="A44">
        <f>== [ Model: Pathologic M ] ===</f>
        <v/>
      </c>
      <c r="B44" t="inlineStr"/>
      <c r="C44" t="inlineStr"/>
      <c r="D44" t="inlineStr"/>
      <c r="E44" t="inlineStr"/>
    </row>
    <row r="45">
      <c r="A45" t="inlineStr">
        <is>
          <t>Dependent Variable (Y)</t>
        </is>
      </c>
      <c r="B45" t="inlineStr">
        <is>
          <t>LOXL2expression</t>
        </is>
      </c>
      <c r="C45" t="inlineStr"/>
      <c r="D45" t="inlineStr"/>
      <c r="E45" t="inlineStr"/>
    </row>
    <row r="46">
      <c r="A46" t="inlineStr">
        <is>
          <t>Model Formula</t>
        </is>
      </c>
      <c r="B46" t="inlineStr">
        <is>
          <t>LOXL2expression ~ age_at_initial_pathologic_diagnosis + C(gender) + number_pack_years_smoked + C(pathologic_M)</t>
        </is>
      </c>
      <c r="C46" t="inlineStr"/>
      <c r="D46" t="inlineStr"/>
      <c r="E46" t="inlineStr"/>
    </row>
    <row r="47">
      <c r="A47" t="inlineStr">
        <is>
          <t>R-squared</t>
        </is>
      </c>
      <c r="B47" t="inlineStr">
        <is>
          <t>0.0087</t>
        </is>
      </c>
      <c r="C47" t="inlineStr"/>
      <c r="D47" t="inlineStr"/>
      <c r="E47" t="inlineStr"/>
    </row>
    <row r="48">
      <c r="A48" t="inlineStr">
        <is>
          <t>Prob (F-statistic)</t>
        </is>
      </c>
      <c r="B48" t="inlineStr">
        <is>
          <t>7.3231e-01</t>
        </is>
      </c>
      <c r="C48" t="inlineStr"/>
      <c r="D48" t="inlineStr"/>
      <c r="E48" t="inlineStr"/>
    </row>
    <row r="49">
      <c r="A49" t="inlineStr">
        <is>
          <t>--- [ Coefficients ] ---</t>
        </is>
      </c>
      <c r="B49" t="inlineStr"/>
      <c r="C49" t="inlineStr"/>
      <c r="D49" t="inlineStr"/>
      <c r="E49" t="inlineStr"/>
    </row>
    <row r="50">
      <c r="A50" t="inlineStr">
        <is>
          <t>Intercept</t>
        </is>
      </c>
      <c r="B50" t="n">
        <v>1488.2523</v>
      </c>
      <c r="C50" t="n">
        <v>-639.2376</v>
      </c>
      <c r="D50" t="n">
        <v>3615.7422</v>
      </c>
      <c r="E50" t="inlineStr">
        <is>
          <t>0.169</t>
        </is>
      </c>
    </row>
    <row r="51">
      <c r="A51" t="inlineStr">
        <is>
          <t>C(gender)[T.MALE]</t>
        </is>
      </c>
      <c r="B51" t="n">
        <v>317.2317</v>
      </c>
      <c r="C51" t="n">
        <v>-342.3307</v>
      </c>
      <c r="D51" t="n">
        <v>976.7942</v>
      </c>
      <c r="E51" t="inlineStr">
        <is>
          <t>0.344</t>
        </is>
      </c>
    </row>
    <row r="52">
      <c r="A52" t="inlineStr">
        <is>
          <t>C(pathologic_M)[T.1.0]</t>
        </is>
      </c>
      <c r="B52" t="n">
        <v>-625.8374</v>
      </c>
      <c r="C52" t="n">
        <v>-1878.6965</v>
      </c>
      <c r="D52" t="n">
        <v>627.0216</v>
      </c>
      <c r="E52" t="inlineStr">
        <is>
          <t>0.326</t>
        </is>
      </c>
    </row>
    <row r="53">
      <c r="A53" t="inlineStr">
        <is>
          <t>age_at_initial_pathologic_diagnosis</t>
        </is>
      </c>
      <c r="B53" t="n">
        <v>-3.5708</v>
      </c>
      <c r="C53" t="n">
        <v>-35.6204</v>
      </c>
      <c r="D53" t="n">
        <v>28.4789</v>
      </c>
      <c r="E53" t="inlineStr">
        <is>
          <t>0.826</t>
        </is>
      </c>
    </row>
    <row r="54">
      <c r="A54" t="inlineStr">
        <is>
          <t>number_pack_years_smoked</t>
        </is>
      </c>
      <c r="B54" t="n">
        <v>1.8412</v>
      </c>
      <c r="C54" t="n">
        <v>-10.2993</v>
      </c>
      <c r="D54" t="n">
        <v>13.9817</v>
      </c>
      <c r="E54" t="inlineStr">
        <is>
          <t>0.765</t>
        </is>
      </c>
    </row>
    <row r="55">
      <c r="A55" t="inlineStr"/>
      <c r="B55" t="inlineStr"/>
      <c r="C55" t="inlineStr"/>
      <c r="D55" t="inlineStr"/>
      <c r="E5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2026-06-22T17:44:41Z</dcterms:created>
  <dcterms:modified xsi:type="dcterms:W3CDTF">2026-06-22T17:44:41Z</dcterms:modified>
</cp:coreProperties>
</file>
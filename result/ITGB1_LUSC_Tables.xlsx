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84</v>
      </c>
      <c r="C3" t="n">
        <v>105</v>
      </c>
      <c r="D3" t="inlineStr">
        <is>
          <t>0.058</t>
        </is>
      </c>
    </row>
    <row r="4">
      <c r="A4" t="inlineStr">
        <is>
          <t xml:space="preserve">  1.0</t>
        </is>
      </c>
      <c r="B4" t="n">
        <v>160</v>
      </c>
      <c r="C4" t="n">
        <v>138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>  </t>
        </is>
      </c>
      <c r="B6" t="n">
        <v>0</v>
      </c>
      <c r="C6" t="n">
        <v>1</v>
      </c>
      <c r="D6" t="inlineStr">
        <is>
          <t>0.562</t>
        </is>
      </c>
    </row>
    <row r="7">
      <c r="A7" t="inlineStr">
        <is>
          <t xml:space="preserve">  FEMALE</t>
        </is>
      </c>
      <c r="B7" t="n">
        <v>65</v>
      </c>
      <c r="C7" t="n">
        <v>61</v>
      </c>
      <c r="D7" t="inlineStr"/>
    </row>
    <row r="8">
      <c r="A8" t="inlineStr">
        <is>
          <t xml:space="preserve">  MALE</t>
        </is>
      </c>
      <c r="B8" t="n">
        <v>179</v>
      </c>
      <c r="C8" t="n">
        <v>182</v>
      </c>
      <c r="D8" t="inlineStr"/>
    </row>
    <row r="9">
      <c r="A9" t="inlineStr">
        <is>
          <t>pathologic_stage</t>
        </is>
      </c>
      <c r="B9" t="inlineStr"/>
      <c r="C9" t="inlineStr"/>
      <c r="D9" t="inlineStr"/>
    </row>
    <row r="10">
      <c r="A10" t="inlineStr">
        <is>
          <t xml:space="preserve">  1.0</t>
        </is>
      </c>
      <c r="B10" t="n">
        <v>110</v>
      </c>
      <c r="C10" t="n">
        <v>128</v>
      </c>
      <c r="D10" t="inlineStr">
        <is>
          <t>0.022</t>
        </is>
      </c>
    </row>
    <row r="11">
      <c r="A11" t="inlineStr">
        <is>
          <t xml:space="preserve">  2.0</t>
        </is>
      </c>
      <c r="B11" t="n">
        <v>85</v>
      </c>
      <c r="C11" t="n">
        <v>71</v>
      </c>
      <c r="D11" t="inlineStr"/>
    </row>
    <row r="12">
      <c r="A12" t="inlineStr">
        <is>
          <t xml:space="preserve">  3.0</t>
        </is>
      </c>
      <c r="B12" t="n">
        <v>40</v>
      </c>
      <c r="C12" t="n">
        <v>42</v>
      </c>
      <c r="D12" t="inlineStr"/>
    </row>
    <row r="13">
      <c r="A13" t="inlineStr">
        <is>
          <t xml:space="preserve">  4.0</t>
        </is>
      </c>
      <c r="B13" t="n">
        <v>7</v>
      </c>
      <c r="C13" t="n">
        <v>0</v>
      </c>
      <c r="D13" t="inlineStr"/>
    </row>
    <row r="14">
      <c r="A14" t="inlineStr">
        <is>
          <t>pathologic_M</t>
        </is>
      </c>
      <c r="B14" t="inlineStr"/>
      <c r="C14" t="inlineStr"/>
      <c r="D14" t="inlineStr"/>
    </row>
    <row r="15">
      <c r="A15" t="inlineStr">
        <is>
          <t xml:space="preserve">  0.0</t>
        </is>
      </c>
      <c r="B15" t="n">
        <v>198</v>
      </c>
      <c r="C15" t="n">
        <v>202</v>
      </c>
      <c r="D15" t="inlineStr">
        <is>
          <t>0.023</t>
        </is>
      </c>
    </row>
    <row r="16">
      <c r="A16" t="inlineStr">
        <is>
          <t xml:space="preserve">  1.0</t>
        </is>
      </c>
      <c r="B16" t="n">
        <v>7</v>
      </c>
      <c r="C16" t="n">
        <v>0</v>
      </c>
      <c r="D16" t="inlineStr"/>
    </row>
    <row r="17">
      <c r="A17" t="inlineStr">
        <is>
          <t>pathologic_N</t>
        </is>
      </c>
      <c r="B17" t="inlineStr"/>
      <c r="C17" t="inlineStr"/>
      <c r="D17" t="inlineStr"/>
    </row>
    <row r="18">
      <c r="A18" t="inlineStr">
        <is>
          <t xml:space="preserve">  0.0</t>
        </is>
      </c>
      <c r="B18" t="n">
        <v>158</v>
      </c>
      <c r="C18" t="n">
        <v>153</v>
      </c>
      <c r="D18" t="inlineStr">
        <is>
          <t>0.583</t>
        </is>
      </c>
    </row>
    <row r="19">
      <c r="A19" t="inlineStr">
        <is>
          <t xml:space="preserve">  1.0</t>
        </is>
      </c>
      <c r="B19" t="n">
        <v>66</v>
      </c>
      <c r="C19" t="n">
        <v>60</v>
      </c>
      <c r="D19" t="inlineStr"/>
    </row>
    <row r="20">
      <c r="A20" t="inlineStr">
        <is>
          <t xml:space="preserve">  2.0</t>
        </is>
      </c>
      <c r="B20" t="n">
        <v>16</v>
      </c>
      <c r="C20" t="n">
        <v>24</v>
      </c>
      <c r="D20" t="inlineStr"/>
    </row>
    <row r="21">
      <c r="A21" t="inlineStr">
        <is>
          <t xml:space="preserve">  3.0</t>
        </is>
      </c>
      <c r="B21" t="n">
        <v>2</v>
      </c>
      <c r="C21" t="n">
        <v>2</v>
      </c>
      <c r="D21" t="inlineStr"/>
    </row>
    <row r="22">
      <c r="A22" t="inlineStr">
        <is>
          <t>pathologic_T</t>
        </is>
      </c>
      <c r="B22" t="inlineStr"/>
      <c r="C22" t="inlineStr"/>
      <c r="D22" t="inlineStr"/>
    </row>
    <row r="23">
      <c r="A23" t="inlineStr">
        <is>
          <t xml:space="preserve">  1.0</t>
        </is>
      </c>
      <c r="B23" t="n">
        <v>51</v>
      </c>
      <c r="C23" t="n">
        <v>58</v>
      </c>
      <c r="D23" t="inlineStr">
        <is>
          <t>0.218</t>
        </is>
      </c>
    </row>
    <row r="24">
      <c r="A24" t="inlineStr">
        <is>
          <t xml:space="preserve">  2.0</t>
        </is>
      </c>
      <c r="B24" t="n">
        <v>138</v>
      </c>
      <c r="C24" t="n">
        <v>147</v>
      </c>
      <c r="D24" t="inlineStr"/>
    </row>
    <row r="25">
      <c r="A25" t="inlineStr">
        <is>
          <t xml:space="preserve">  3.0</t>
        </is>
      </c>
      <c r="B25" t="n">
        <v>43</v>
      </c>
      <c r="C25" t="n">
        <v>27</v>
      </c>
      <c r="D25" t="inlineStr"/>
    </row>
    <row r="26">
      <c r="A26" t="inlineStr">
        <is>
          <t xml:space="preserve">  4.0</t>
        </is>
      </c>
      <c r="B26" t="n">
        <v>12</v>
      </c>
      <c r="C26" t="n">
        <v>11</v>
      </c>
      <c r="D26" t="inlineStr"/>
    </row>
    <row r="27">
      <c r="A27" t="inlineStr">
        <is>
          <t>SmokingStatus</t>
        </is>
      </c>
      <c r="B27" t="inlineStr"/>
      <c r="C27" t="inlineStr"/>
      <c r="D27" t="inlineStr"/>
    </row>
    <row r="28">
      <c r="A28" t="inlineStr">
        <is>
          <t xml:space="preserve">  0.0</t>
        </is>
      </c>
      <c r="B28" t="n">
        <v>40</v>
      </c>
      <c r="C28" t="n">
        <v>36</v>
      </c>
      <c r="D28" t="inlineStr">
        <is>
          <t>0.708</t>
        </is>
      </c>
    </row>
    <row r="29">
      <c r="A29" t="inlineStr">
        <is>
          <t xml:space="preserve">  1.0</t>
        </is>
      </c>
      <c r="B29" t="n">
        <v>204</v>
      </c>
      <c r="C29" t="n">
        <v>208</v>
      </c>
      <c r="D2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ITGB1expression</t>
        </is>
      </c>
      <c r="D1" s="1" t="inlineStr">
        <is>
          <t>number_pack_years_smoked</t>
        </is>
      </c>
      <c r="E1" s="1" t="inlineStr">
        <is>
          <t>TP53Expression</t>
        </is>
      </c>
      <c r="F1" s="1" t="inlineStr">
        <is>
          <t>CDKN2AExpression</t>
        </is>
      </c>
      <c r="G1" s="1" t="inlineStr">
        <is>
          <t>SOX2Expression</t>
        </is>
      </c>
      <c r="H1" s="1" t="inlineStr">
        <is>
          <t>PIK3CAExpression</t>
        </is>
      </c>
      <c r="I1" s="1" t="inlineStr">
        <is>
          <t>NOTCH1Expression</t>
        </is>
      </c>
      <c r="J1" s="1" t="inlineStr">
        <is>
          <t>age</t>
        </is>
      </c>
    </row>
    <row r="2">
      <c r="A2" t="inlineStr">
        <is>
          <t>ITGB1expression</t>
        </is>
      </c>
      <c r="B2" t="inlineStr">
        <is>
          <t>R</t>
        </is>
      </c>
      <c r="C2" t="inlineStr">
        <is>
          <t>1</t>
        </is>
      </c>
      <c r="D2" t="inlineStr">
        <is>
          <t>0.018</t>
        </is>
      </c>
      <c r="E2" t="inlineStr">
        <is>
          <t>-0.080</t>
        </is>
      </c>
      <c r="F2" t="inlineStr">
        <is>
          <t>0.032</t>
        </is>
      </c>
      <c r="G2" t="inlineStr">
        <is>
          <t>-0.377</t>
        </is>
      </c>
      <c r="H2" t="inlineStr">
        <is>
          <t>-0.103</t>
        </is>
      </c>
      <c r="I2" t="inlineStr">
        <is>
          <t>-0.130</t>
        </is>
      </c>
      <c r="J2" t="inlineStr">
        <is>
          <t>0.064</t>
        </is>
      </c>
    </row>
    <row r="3">
      <c r="A3" t="inlineStr"/>
      <c r="B3" t="inlineStr">
        <is>
          <t>P</t>
        </is>
      </c>
      <c r="C3" t="inlineStr"/>
      <c r="D3" t="inlineStr">
        <is>
          <t>0.715</t>
        </is>
      </c>
      <c r="E3" t="inlineStr">
        <is>
          <t>0.109</t>
        </is>
      </c>
      <c r="F3" t="inlineStr">
        <is>
          <t>0.514</t>
        </is>
      </c>
      <c r="G3" t="inlineStr">
        <is>
          <t>&lt;0.001</t>
        </is>
      </c>
      <c r="H3" t="inlineStr">
        <is>
          <t>0.038</t>
        </is>
      </c>
      <c r="I3" t="inlineStr">
        <is>
          <t>0.009</t>
        </is>
      </c>
      <c r="J3" t="inlineStr">
        <is>
          <t>0.199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0.018</t>
        </is>
      </c>
      <c r="D4" t="inlineStr">
        <is>
          <t>1</t>
        </is>
      </c>
      <c r="E4" t="inlineStr">
        <is>
          <t>-0.009</t>
        </is>
      </c>
      <c r="F4" t="inlineStr">
        <is>
          <t>-0.025</t>
        </is>
      </c>
      <c r="G4" t="inlineStr">
        <is>
          <t>-0.040</t>
        </is>
      </c>
      <c r="H4" t="inlineStr">
        <is>
          <t>0.020</t>
        </is>
      </c>
      <c r="I4" t="inlineStr">
        <is>
          <t>0.003</t>
        </is>
      </c>
      <c r="J4" t="inlineStr">
        <is>
          <t>0.040</t>
        </is>
      </c>
    </row>
    <row r="5">
      <c r="A5" t="inlineStr"/>
      <c r="B5" t="inlineStr">
        <is>
          <t>P</t>
        </is>
      </c>
      <c r="C5" t="inlineStr">
        <is>
          <t>0.715</t>
        </is>
      </c>
      <c r="D5" t="inlineStr"/>
      <c r="E5" t="inlineStr">
        <is>
          <t>0.864</t>
        </is>
      </c>
      <c r="F5" t="inlineStr">
        <is>
          <t>0.615</t>
        </is>
      </c>
      <c r="G5" t="inlineStr">
        <is>
          <t>0.415</t>
        </is>
      </c>
      <c r="H5" t="inlineStr">
        <is>
          <t>0.692</t>
        </is>
      </c>
      <c r="I5" t="inlineStr">
        <is>
          <t>0.946</t>
        </is>
      </c>
      <c r="J5" t="inlineStr">
        <is>
          <t>0.420</t>
        </is>
      </c>
    </row>
    <row r="6">
      <c r="A6" t="inlineStr">
        <is>
          <t>TP53Expression</t>
        </is>
      </c>
      <c r="B6" t="inlineStr">
        <is>
          <t>R</t>
        </is>
      </c>
      <c r="C6" t="inlineStr">
        <is>
          <t>-0.080</t>
        </is>
      </c>
      <c r="D6" t="inlineStr">
        <is>
          <t>-0.009</t>
        </is>
      </c>
      <c r="E6" t="inlineStr">
        <is>
          <t>1</t>
        </is>
      </c>
      <c r="F6" t="inlineStr">
        <is>
          <t>-0.007</t>
        </is>
      </c>
      <c r="G6" t="inlineStr">
        <is>
          <t>0.069</t>
        </is>
      </c>
      <c r="H6" t="inlineStr">
        <is>
          <t>0.066</t>
        </is>
      </c>
      <c r="I6" t="inlineStr">
        <is>
          <t>0.094</t>
        </is>
      </c>
      <c r="J6" t="inlineStr">
        <is>
          <t>-0.045</t>
        </is>
      </c>
    </row>
    <row r="7">
      <c r="A7" t="inlineStr"/>
      <c r="B7" t="inlineStr">
        <is>
          <t>P</t>
        </is>
      </c>
      <c r="C7" t="inlineStr">
        <is>
          <t>0.109</t>
        </is>
      </c>
      <c r="D7" t="inlineStr">
        <is>
          <t>0.864</t>
        </is>
      </c>
      <c r="E7" t="inlineStr"/>
      <c r="F7" t="inlineStr">
        <is>
          <t>0.887</t>
        </is>
      </c>
      <c r="G7" t="inlineStr">
        <is>
          <t>0.164</t>
        </is>
      </c>
      <c r="H7" t="inlineStr">
        <is>
          <t>0.182</t>
        </is>
      </c>
      <c r="I7" t="inlineStr">
        <is>
          <t>0.059</t>
        </is>
      </c>
      <c r="J7" t="inlineStr">
        <is>
          <t>0.362</t>
        </is>
      </c>
    </row>
    <row r="8">
      <c r="A8" t="inlineStr">
        <is>
          <t>CDKN2AExpression</t>
        </is>
      </c>
      <c r="B8" t="inlineStr">
        <is>
          <t>R</t>
        </is>
      </c>
      <c r="C8" t="inlineStr">
        <is>
          <t>0.032</t>
        </is>
      </c>
      <c r="D8" t="inlineStr">
        <is>
          <t>-0.025</t>
        </is>
      </c>
      <c r="E8" t="inlineStr">
        <is>
          <t>-0.007</t>
        </is>
      </c>
      <c r="F8" t="inlineStr">
        <is>
          <t>1</t>
        </is>
      </c>
      <c r="G8" t="inlineStr">
        <is>
          <t>-0.007</t>
        </is>
      </c>
      <c r="H8" t="inlineStr">
        <is>
          <t>-0.033</t>
        </is>
      </c>
      <c r="I8" t="inlineStr">
        <is>
          <t>-0.068</t>
        </is>
      </c>
      <c r="J8" t="inlineStr">
        <is>
          <t>-0.010</t>
        </is>
      </c>
    </row>
    <row r="9">
      <c r="A9" t="inlineStr"/>
      <c r="B9" t="inlineStr">
        <is>
          <t>P</t>
        </is>
      </c>
      <c r="C9" t="inlineStr">
        <is>
          <t>0.514</t>
        </is>
      </c>
      <c r="D9" t="inlineStr">
        <is>
          <t>0.615</t>
        </is>
      </c>
      <c r="E9" t="inlineStr">
        <is>
          <t>0.887</t>
        </is>
      </c>
      <c r="F9" t="inlineStr"/>
      <c r="G9" t="inlineStr">
        <is>
          <t>0.886</t>
        </is>
      </c>
      <c r="H9" t="inlineStr">
        <is>
          <t>0.501</t>
        </is>
      </c>
      <c r="I9" t="inlineStr">
        <is>
          <t>0.168</t>
        </is>
      </c>
      <c r="J9" t="inlineStr">
        <is>
          <t>0.848</t>
        </is>
      </c>
    </row>
    <row r="10">
      <c r="A10" t="inlineStr">
        <is>
          <t>SOX2Expression</t>
        </is>
      </c>
      <c r="B10" t="inlineStr">
        <is>
          <t>R</t>
        </is>
      </c>
      <c r="C10" t="inlineStr">
        <is>
          <t>-0.377</t>
        </is>
      </c>
      <c r="D10" t="inlineStr">
        <is>
          <t>-0.040</t>
        </is>
      </c>
      <c r="E10" t="inlineStr">
        <is>
          <t>0.069</t>
        </is>
      </c>
      <c r="F10" t="inlineStr">
        <is>
          <t>-0.007</t>
        </is>
      </c>
      <c r="G10" t="inlineStr">
        <is>
          <t>1</t>
        </is>
      </c>
      <c r="H10" t="inlineStr">
        <is>
          <t>0.555</t>
        </is>
      </c>
      <c r="I10" t="inlineStr">
        <is>
          <t>0.014</t>
        </is>
      </c>
      <c r="J10" t="inlineStr">
        <is>
          <t>-0.147</t>
        </is>
      </c>
    </row>
    <row r="11">
      <c r="A11" t="inlineStr"/>
      <c r="B11" t="inlineStr">
        <is>
          <t>P</t>
        </is>
      </c>
      <c r="C11" t="inlineStr">
        <is>
          <t>&lt;0.001</t>
        </is>
      </c>
      <c r="D11" t="inlineStr">
        <is>
          <t>0.415</t>
        </is>
      </c>
      <c r="E11" t="inlineStr">
        <is>
          <t>0.164</t>
        </is>
      </c>
      <c r="F11" t="inlineStr">
        <is>
          <t>0.886</t>
        </is>
      </c>
      <c r="G11" t="inlineStr"/>
      <c r="H11" t="inlineStr">
        <is>
          <t>&lt;0.001</t>
        </is>
      </c>
      <c r="I11" t="inlineStr">
        <is>
          <t>0.783</t>
        </is>
      </c>
      <c r="J11" t="inlineStr">
        <is>
          <t>0.003</t>
        </is>
      </c>
    </row>
    <row r="12">
      <c r="A12" t="inlineStr">
        <is>
          <t>PIK3CAExpression</t>
        </is>
      </c>
      <c r="B12" t="inlineStr">
        <is>
          <t>R</t>
        </is>
      </c>
      <c r="C12" t="inlineStr">
        <is>
          <t>-0.103</t>
        </is>
      </c>
      <c r="D12" t="inlineStr">
        <is>
          <t>0.020</t>
        </is>
      </c>
      <c r="E12" t="inlineStr">
        <is>
          <t>0.066</t>
        </is>
      </c>
      <c r="F12" t="inlineStr">
        <is>
          <t>-0.033</t>
        </is>
      </c>
      <c r="G12" t="inlineStr">
        <is>
          <t>0.555</t>
        </is>
      </c>
      <c r="H12" t="inlineStr">
        <is>
          <t>1</t>
        </is>
      </c>
      <c r="I12" t="inlineStr">
        <is>
          <t>-0.036</t>
        </is>
      </c>
      <c r="J12" t="inlineStr">
        <is>
          <t>-0.031</t>
        </is>
      </c>
    </row>
    <row r="13">
      <c r="A13" t="inlineStr"/>
      <c r="B13" t="inlineStr">
        <is>
          <t>P</t>
        </is>
      </c>
      <c r="C13" t="inlineStr">
        <is>
          <t>0.038</t>
        </is>
      </c>
      <c r="D13" t="inlineStr">
        <is>
          <t>0.692</t>
        </is>
      </c>
      <c r="E13" t="inlineStr">
        <is>
          <t>0.182</t>
        </is>
      </c>
      <c r="F13" t="inlineStr">
        <is>
          <t>0.501</t>
        </is>
      </c>
      <c r="G13" t="inlineStr">
        <is>
          <t>&lt;0.001</t>
        </is>
      </c>
      <c r="H13" t="inlineStr"/>
      <c r="I13" t="inlineStr">
        <is>
          <t>0.472</t>
        </is>
      </c>
      <c r="J13" t="inlineStr">
        <is>
          <t>0.527</t>
        </is>
      </c>
    </row>
    <row r="14">
      <c r="A14" t="inlineStr">
        <is>
          <t>NOTCH1Expression</t>
        </is>
      </c>
      <c r="B14" t="inlineStr">
        <is>
          <t>R</t>
        </is>
      </c>
      <c r="C14" t="inlineStr">
        <is>
          <t>-0.130</t>
        </is>
      </c>
      <c r="D14" t="inlineStr">
        <is>
          <t>0.003</t>
        </is>
      </c>
      <c r="E14" t="inlineStr">
        <is>
          <t>0.094</t>
        </is>
      </c>
      <c r="F14" t="inlineStr">
        <is>
          <t>-0.068</t>
        </is>
      </c>
      <c r="G14" t="inlineStr">
        <is>
          <t>0.014</t>
        </is>
      </c>
      <c r="H14" t="inlineStr">
        <is>
          <t>-0.036</t>
        </is>
      </c>
      <c r="I14" t="inlineStr">
        <is>
          <t>1</t>
        </is>
      </c>
      <c r="J14" t="inlineStr">
        <is>
          <t>0.001</t>
        </is>
      </c>
    </row>
    <row r="15">
      <c r="A15" t="inlineStr"/>
      <c r="B15" t="inlineStr">
        <is>
          <t>P</t>
        </is>
      </c>
      <c r="C15" t="inlineStr">
        <is>
          <t>0.009</t>
        </is>
      </c>
      <c r="D15" t="inlineStr">
        <is>
          <t>0.946</t>
        </is>
      </c>
      <c r="E15" t="inlineStr">
        <is>
          <t>0.059</t>
        </is>
      </c>
      <c r="F15" t="inlineStr">
        <is>
          <t>0.168</t>
        </is>
      </c>
      <c r="G15" t="inlineStr">
        <is>
          <t>0.783</t>
        </is>
      </c>
      <c r="H15" t="inlineStr">
        <is>
          <t>0.472</t>
        </is>
      </c>
      <c r="I15" t="inlineStr"/>
      <c r="J15" t="inlineStr">
        <is>
          <t>0.987</t>
        </is>
      </c>
    </row>
    <row r="16">
      <c r="A16" t="inlineStr">
        <is>
          <t>age</t>
        </is>
      </c>
      <c r="B16" t="inlineStr">
        <is>
          <t>R</t>
        </is>
      </c>
      <c r="C16" t="inlineStr">
        <is>
          <t>0.064</t>
        </is>
      </c>
      <c r="D16" t="inlineStr">
        <is>
          <t>0.040</t>
        </is>
      </c>
      <c r="E16" t="inlineStr">
        <is>
          <t>-0.045</t>
        </is>
      </c>
      <c r="F16" t="inlineStr">
        <is>
          <t>-0.010</t>
        </is>
      </c>
      <c r="G16" t="inlineStr">
        <is>
          <t>-0.147</t>
        </is>
      </c>
      <c r="H16" t="inlineStr">
        <is>
          <t>-0.031</t>
        </is>
      </c>
      <c r="I16" t="inlineStr">
        <is>
          <t>0.001</t>
        </is>
      </c>
      <c r="J16" t="inlineStr">
        <is>
          <t>1</t>
        </is>
      </c>
    </row>
    <row r="17">
      <c r="A17" t="inlineStr"/>
      <c r="B17" t="inlineStr">
        <is>
          <t>P</t>
        </is>
      </c>
      <c r="C17" t="inlineStr">
        <is>
          <t>0.199</t>
        </is>
      </c>
      <c r="D17" t="inlineStr">
        <is>
          <t>0.420</t>
        </is>
      </c>
      <c r="E17" t="inlineStr">
        <is>
          <t>0.362</t>
        </is>
      </c>
      <c r="F17" t="inlineStr">
        <is>
          <t>0.848</t>
        </is>
      </c>
      <c r="G17" t="inlineStr">
        <is>
          <t>0.003</t>
        </is>
      </c>
      <c r="H17" t="inlineStr">
        <is>
          <t>0.527</t>
        </is>
      </c>
      <c r="I17" t="inlineStr">
        <is>
          <t>0.987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P-value</t>
        </is>
      </c>
    </row>
    <row r="2">
      <c r="A2" t="inlineStr">
        <is>
          <t>age</t>
        </is>
      </c>
      <c r="B2" t="n">
        <v>1.021</v>
      </c>
      <c r="C2" t="inlineStr">
        <is>
          <t>0.031</t>
        </is>
      </c>
    </row>
    <row r="3">
      <c r="A3" t="inlineStr">
        <is>
          <t>number_pack_years_smoked</t>
        </is>
      </c>
      <c r="B3" t="n">
        <v>1</v>
      </c>
      <c r="C3" t="inlineStr">
        <is>
          <t>0.986</t>
        </is>
      </c>
    </row>
    <row r="4">
      <c r="A4" t="inlineStr">
        <is>
          <t>ITGB1group_Low</t>
        </is>
      </c>
      <c r="B4" t="n">
        <v>0.8070000000000001</v>
      </c>
      <c r="C4" t="inlineStr">
        <is>
          <t>0.163</t>
        </is>
      </c>
    </row>
    <row r="5">
      <c r="A5" t="inlineStr">
        <is>
          <t>gender_MALE</t>
        </is>
      </c>
      <c r="B5" t="n">
        <v>1.241</v>
      </c>
      <c r="C5" t="inlineStr">
        <is>
          <t>0.226</t>
        </is>
      </c>
    </row>
    <row r="6">
      <c r="A6" t="inlineStr">
        <is>
          <t>pathologic_stage_2.0</t>
        </is>
      </c>
      <c r="B6" t="n">
        <v>0.997</v>
      </c>
      <c r="C6" t="inlineStr">
        <is>
          <t>0.987</t>
        </is>
      </c>
    </row>
    <row r="7">
      <c r="A7" t="inlineStr">
        <is>
          <t>pathologic_stage_3.0</t>
        </is>
      </c>
      <c r="B7" t="n">
        <v>1.366</v>
      </c>
      <c r="C7" t="inlineStr">
        <is>
          <t>0.123</t>
        </is>
      </c>
    </row>
    <row r="8">
      <c r="A8" t="inlineStr">
        <is>
          <t>pathologic_stage_4.0</t>
        </is>
      </c>
      <c r="B8" t="n">
        <v>2.791</v>
      </c>
      <c r="C8" t="inlineStr">
        <is>
          <t>0.031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Pathologic Stage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ITGB1expression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ITGB1expression ~ age + C(gender) + number_pack_years_smoked + C(pathologic_stage)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0.0242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1.2913e-01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7270.4003</v>
      </c>
      <c r="C8" t="n">
        <v>2208.8191</v>
      </c>
      <c r="D8" t="n">
        <v>12331.9816</v>
      </c>
      <c r="E8" t="inlineStr">
        <is>
          <t>0.005</t>
        </is>
      </c>
    </row>
    <row r="9">
      <c r="A9" t="inlineStr">
        <is>
          <t>C(gender)[T.MALE]</t>
        </is>
      </c>
      <c r="B9" t="n">
        <v>303.6114</v>
      </c>
      <c r="C9" t="n">
        <v>-1039.3226</v>
      </c>
      <c r="D9" t="n">
        <v>1646.5453</v>
      </c>
      <c r="E9" t="inlineStr">
        <is>
          <t>0.657</t>
        </is>
      </c>
    </row>
    <row r="10">
      <c r="A10" t="inlineStr">
        <is>
          <t>C(pathologic_stage)[T.2.0]</t>
        </is>
      </c>
      <c r="B10" t="n">
        <v>1329.2122</v>
      </c>
      <c r="C10" t="n">
        <v>-1.4001</v>
      </c>
      <c r="D10" t="n">
        <v>2659.8244</v>
      </c>
      <c r="E10" t="inlineStr">
        <is>
          <t>0.050</t>
        </is>
      </c>
    </row>
    <row r="11">
      <c r="A11" t="inlineStr">
        <is>
          <t>C(pathologic_stage)[T.3.0]</t>
        </is>
      </c>
      <c r="B11" t="n">
        <v>772.7641</v>
      </c>
      <c r="C11" t="n">
        <v>-898.2487</v>
      </c>
      <c r="D11" t="n">
        <v>2443.777</v>
      </c>
      <c r="E11" t="inlineStr">
        <is>
          <t>0.364</t>
        </is>
      </c>
    </row>
    <row r="12">
      <c r="A12" t="inlineStr">
        <is>
          <t>C(pathologic_stage)[T.4.0]</t>
        </is>
      </c>
      <c r="B12" t="n">
        <v>5456.8922</v>
      </c>
      <c r="C12" t="n">
        <v>537.4707</v>
      </c>
      <c r="D12" t="n">
        <v>10376.3137</v>
      </c>
      <c r="E12" t="inlineStr">
        <is>
          <t>0.030</t>
        </is>
      </c>
    </row>
    <row r="13">
      <c r="A13" t="inlineStr">
        <is>
          <t>age</t>
        </is>
      </c>
      <c r="B13" t="n">
        <v>48.5322</v>
      </c>
      <c r="C13" t="n">
        <v>-22.755</v>
      </c>
      <c r="D13" t="n">
        <v>119.8194</v>
      </c>
      <c r="E13" t="inlineStr">
        <is>
          <t>0.182</t>
        </is>
      </c>
    </row>
    <row r="14">
      <c r="A14" t="inlineStr">
        <is>
          <t>number_pack_years_smoked</t>
        </is>
      </c>
      <c r="B14" t="n">
        <v>2.7391</v>
      </c>
      <c r="C14" t="n">
        <v>-16.1256</v>
      </c>
      <c r="D14" t="n">
        <v>21.6037</v>
      </c>
      <c r="E14" t="inlineStr">
        <is>
          <t>0.775</t>
        </is>
      </c>
    </row>
    <row r="15">
      <c r="A15" t="inlineStr"/>
      <c r="B15" t="inlineStr"/>
      <c r="C15" t="inlineStr"/>
      <c r="D15" t="inlineStr"/>
      <c r="E15" t="inlineStr"/>
    </row>
    <row r="16">
      <c r="A16">
        <f>== [ Model: Pathologic T ] ===</f>
        <v/>
      </c>
      <c r="B16" t="inlineStr"/>
      <c r="C16" t="inlineStr"/>
      <c r="D16" t="inlineStr"/>
      <c r="E16" t="inlineStr"/>
    </row>
    <row r="17">
      <c r="A17" t="inlineStr">
        <is>
          <t>Dependent Variable (Y)</t>
        </is>
      </c>
      <c r="B17" t="inlineStr">
        <is>
          <t>ITGB1expression</t>
        </is>
      </c>
      <c r="C17" t="inlineStr"/>
      <c r="D17" t="inlineStr"/>
      <c r="E17" t="inlineStr"/>
    </row>
    <row r="18">
      <c r="A18" t="inlineStr">
        <is>
          <t>Model Formula</t>
        </is>
      </c>
      <c r="B18" t="inlineStr">
        <is>
          <t>ITGB1expression ~ age + C(gender) + number_pack_years_smoked + C(pathologic_T)</t>
        </is>
      </c>
      <c r="C18" t="inlineStr"/>
      <c r="D18" t="inlineStr"/>
      <c r="E18" t="inlineStr"/>
    </row>
    <row r="19">
      <c r="A19" t="inlineStr">
        <is>
          <t>R-squared</t>
        </is>
      </c>
      <c r="B19" t="inlineStr">
        <is>
          <t>0.0160</t>
        </is>
      </c>
      <c r="C19" t="inlineStr"/>
      <c r="D19" t="inlineStr"/>
      <c r="E19" t="inlineStr"/>
    </row>
    <row r="20">
      <c r="A20" t="inlineStr">
        <is>
          <t>Prob (F-statistic)</t>
        </is>
      </c>
      <c r="B20" t="inlineStr">
        <is>
          <t>3.6460e-01</t>
        </is>
      </c>
      <c r="C20" t="inlineStr"/>
      <c r="D20" t="inlineStr"/>
      <c r="E20" t="inlineStr"/>
    </row>
    <row r="21">
      <c r="A21" t="inlineStr">
        <is>
          <t>--- [ Coefficients ] ---</t>
        </is>
      </c>
      <c r="B21" t="inlineStr"/>
      <c r="C21" t="inlineStr"/>
      <c r="D21" t="inlineStr"/>
      <c r="E21" t="inlineStr"/>
    </row>
    <row r="22">
      <c r="A22" t="inlineStr">
        <is>
          <t>Intercept</t>
        </is>
      </c>
      <c r="B22" t="n">
        <v>6872.6268</v>
      </c>
      <c r="C22" t="n">
        <v>1837.4119</v>
      </c>
      <c r="D22" t="n">
        <v>11907.8416</v>
      </c>
      <c r="E22" t="inlineStr">
        <is>
          <t>0.008</t>
        </is>
      </c>
    </row>
    <row r="23">
      <c r="A23" t="inlineStr">
        <is>
          <t>C(gender)[T.MALE]</t>
        </is>
      </c>
      <c r="B23" t="n">
        <v>347.825</v>
      </c>
      <c r="C23" t="n">
        <v>-1008.3951</v>
      </c>
      <c r="D23" t="n">
        <v>1704.0451</v>
      </c>
      <c r="E23" t="inlineStr">
        <is>
          <t>0.614</t>
        </is>
      </c>
    </row>
    <row r="24">
      <c r="A24" t="inlineStr">
        <is>
          <t>C(pathologic_T)[T.2.0]</t>
        </is>
      </c>
      <c r="B24" t="n">
        <v>956.1882000000001</v>
      </c>
      <c r="C24" t="n">
        <v>-496.4963</v>
      </c>
      <c r="D24" t="n">
        <v>2408.8727</v>
      </c>
      <c r="E24" t="inlineStr">
        <is>
          <t>0.196</t>
        </is>
      </c>
    </row>
    <row r="25">
      <c r="A25" t="inlineStr">
        <is>
          <t>C(pathologic_T)[T.3.0]</t>
        </is>
      </c>
      <c r="B25" t="n">
        <v>2120.0573</v>
      </c>
      <c r="C25" t="n">
        <v>79.92359999999999</v>
      </c>
      <c r="D25" t="n">
        <v>4160.191</v>
      </c>
      <c r="E25" t="inlineStr">
        <is>
          <t>0.042</t>
        </is>
      </c>
    </row>
    <row r="26">
      <c r="A26" t="inlineStr">
        <is>
          <t>C(pathologic_T)[T.4.0]</t>
        </is>
      </c>
      <c r="B26" t="n">
        <v>971.0846</v>
      </c>
      <c r="C26" t="n">
        <v>-2169.7124</v>
      </c>
      <c r="D26" t="n">
        <v>4111.8816</v>
      </c>
      <c r="E26" t="inlineStr">
        <is>
          <t>0.544</t>
        </is>
      </c>
    </row>
    <row r="27">
      <c r="A27" t="inlineStr">
        <is>
          <t>age</t>
        </is>
      </c>
      <c r="B27" t="n">
        <v>49.6126</v>
      </c>
      <c r="C27" t="n">
        <v>-21.3161</v>
      </c>
      <c r="D27" t="n">
        <v>120.5413</v>
      </c>
      <c r="E27" t="inlineStr">
        <is>
          <t>0.170</t>
        </is>
      </c>
    </row>
    <row r="28">
      <c r="A28" t="inlineStr">
        <is>
          <t>number_pack_years_smoked</t>
        </is>
      </c>
      <c r="B28" t="n">
        <v>3.1182</v>
      </c>
      <c r="C28" t="n">
        <v>-15.7701</v>
      </c>
      <c r="D28" t="n">
        <v>22.0066</v>
      </c>
      <c r="E28" t="inlineStr">
        <is>
          <t>0.746</t>
        </is>
      </c>
    </row>
    <row r="29">
      <c r="A29" t="inlineStr"/>
      <c r="B29" t="inlineStr"/>
      <c r="C29" t="inlineStr"/>
      <c r="D29" t="inlineStr"/>
      <c r="E29" t="inlineStr"/>
    </row>
    <row r="30">
      <c r="A30">
        <f>== [ Model: Pathologic N ] ===</f>
        <v/>
      </c>
      <c r="B30" t="inlineStr"/>
      <c r="C30" t="inlineStr"/>
      <c r="D30" t="inlineStr"/>
      <c r="E30" t="inlineStr"/>
    </row>
    <row r="31">
      <c r="A31" t="inlineStr">
        <is>
          <t>Dependent Variable (Y)</t>
        </is>
      </c>
      <c r="B31" t="inlineStr">
        <is>
          <t>ITGB1expression</t>
        </is>
      </c>
      <c r="C31" t="inlineStr"/>
      <c r="D31" t="inlineStr"/>
      <c r="E31" t="inlineStr"/>
    </row>
    <row r="32">
      <c r="A32" t="inlineStr">
        <is>
          <t>Model Formula</t>
        </is>
      </c>
      <c r="B32" t="inlineStr">
        <is>
          <t>ITGB1expression ~ age + C(gender) + number_pack_years_smoked + C(pathologic_N)</t>
        </is>
      </c>
      <c r="C32" t="inlineStr"/>
      <c r="D32" t="inlineStr"/>
      <c r="E32" t="inlineStr"/>
    </row>
    <row r="33">
      <c r="A33" t="inlineStr">
        <is>
          <t>R-squared</t>
        </is>
      </c>
      <c r="B33" t="inlineStr">
        <is>
          <t>0.0128</t>
        </is>
      </c>
      <c r="C33" t="inlineStr"/>
      <c r="D33" t="inlineStr"/>
      <c r="E33" t="inlineStr"/>
    </row>
    <row r="34">
      <c r="A34" t="inlineStr">
        <is>
          <t>Prob (F-statistic)</t>
        </is>
      </c>
      <c r="B34" t="inlineStr">
        <is>
          <t>5.2260e-01</t>
        </is>
      </c>
      <c r="C34" t="inlineStr"/>
      <c r="D34" t="inlineStr"/>
      <c r="E34" t="inlineStr"/>
    </row>
    <row r="35">
      <c r="A35" t="inlineStr">
        <is>
          <t>--- [ Coefficients ] ---</t>
        </is>
      </c>
      <c r="B35" t="inlineStr"/>
      <c r="C35" t="inlineStr"/>
      <c r="D35" t="inlineStr"/>
      <c r="E35" t="inlineStr"/>
    </row>
    <row r="36">
      <c r="A36" t="inlineStr">
        <is>
          <t>Intercept</t>
        </is>
      </c>
      <c r="B36" t="n">
        <v>7582.3807</v>
      </c>
      <c r="C36" t="n">
        <v>2439.4563</v>
      </c>
      <c r="D36" t="n">
        <v>12725.305</v>
      </c>
      <c r="E36" t="inlineStr">
        <is>
          <t>0.004</t>
        </is>
      </c>
    </row>
    <row r="37">
      <c r="A37" t="inlineStr">
        <is>
          <t>C(gender)[T.MALE]</t>
        </is>
      </c>
      <c r="B37" t="n">
        <v>431.1941</v>
      </c>
      <c r="C37" t="n">
        <v>-918.8176999999999</v>
      </c>
      <c r="D37" t="n">
        <v>1781.2059</v>
      </c>
      <c r="E37" t="inlineStr">
        <is>
          <t>0.530</t>
        </is>
      </c>
    </row>
    <row r="38">
      <c r="A38" t="inlineStr">
        <is>
          <t>C(pathologic_N)[T.1.0]</t>
        </is>
      </c>
      <c r="B38" t="n">
        <v>738.9382000000001</v>
      </c>
      <c r="C38" t="n">
        <v>-632.4915999999999</v>
      </c>
      <c r="D38" t="n">
        <v>2110.3679</v>
      </c>
      <c r="E38" t="inlineStr">
        <is>
          <t>0.290</t>
        </is>
      </c>
    </row>
    <row r="39">
      <c r="A39" t="inlineStr">
        <is>
          <t>C(pathologic_N)[T.2.0]</t>
        </is>
      </c>
      <c r="B39" t="n">
        <v>-1145.7383</v>
      </c>
      <c r="C39" t="n">
        <v>-3363.8983</v>
      </c>
      <c r="D39" t="n">
        <v>1072.4216</v>
      </c>
      <c r="E39" t="inlineStr">
        <is>
          <t>0.311</t>
        </is>
      </c>
    </row>
    <row r="40">
      <c r="A40" t="inlineStr">
        <is>
          <t>C(pathologic_N)[T.3.0]</t>
        </is>
      </c>
      <c r="B40" t="n">
        <v>43.9815</v>
      </c>
      <c r="C40" t="n">
        <v>-5969.9522</v>
      </c>
      <c r="D40" t="n">
        <v>6057.9153</v>
      </c>
      <c r="E40" t="inlineStr">
        <is>
          <t>0.989</t>
        </is>
      </c>
    </row>
    <row r="41">
      <c r="A41" t="inlineStr">
        <is>
          <t>age</t>
        </is>
      </c>
      <c r="B41" t="n">
        <v>50.2561</v>
      </c>
      <c r="C41" t="n">
        <v>-22.5173</v>
      </c>
      <c r="D41" t="n">
        <v>123.0296</v>
      </c>
      <c r="E41" t="inlineStr">
        <is>
          <t>0.175</t>
        </is>
      </c>
    </row>
    <row r="42">
      <c r="A42" t="inlineStr">
        <is>
          <t>number_pack_years_smoked</t>
        </is>
      </c>
      <c r="B42" t="n">
        <v>2.6926</v>
      </c>
      <c r="C42" t="n">
        <v>-16.3398</v>
      </c>
      <c r="D42" t="n">
        <v>21.725</v>
      </c>
      <c r="E42" t="inlineStr">
        <is>
          <t>0.781</t>
        </is>
      </c>
    </row>
    <row r="43">
      <c r="A43" t="inlineStr"/>
      <c r="B43" t="inlineStr"/>
      <c r="C43" t="inlineStr"/>
      <c r="D43" t="inlineStr"/>
      <c r="E43" t="inlineStr"/>
    </row>
    <row r="44">
      <c r="A44">
        <f>== [ Model: Pathologic M ] ===</f>
        <v/>
      </c>
      <c r="B44" t="inlineStr"/>
      <c r="C44" t="inlineStr"/>
      <c r="D44" t="inlineStr"/>
      <c r="E44" t="inlineStr"/>
    </row>
    <row r="45">
      <c r="A45" t="inlineStr">
        <is>
          <t>Dependent Variable (Y)</t>
        </is>
      </c>
      <c r="B45" t="inlineStr">
        <is>
          <t>ITGB1expression</t>
        </is>
      </c>
      <c r="C45" t="inlineStr"/>
      <c r="D45" t="inlineStr"/>
      <c r="E45" t="inlineStr"/>
    </row>
    <row r="46">
      <c r="A46" t="inlineStr">
        <is>
          <t>Model Formula</t>
        </is>
      </c>
      <c r="B46" t="inlineStr">
        <is>
          <t>ITGB1expression ~ age + C(gender) + number_pack_years_smoked + C(pathologic_M)</t>
        </is>
      </c>
      <c r="C46" t="inlineStr"/>
      <c r="D46" t="inlineStr"/>
      <c r="E46" t="inlineStr"/>
    </row>
    <row r="47">
      <c r="A47" t="inlineStr">
        <is>
          <t>R-squared</t>
        </is>
      </c>
      <c r="B47" t="inlineStr">
        <is>
          <t>0.0172</t>
        </is>
      </c>
      <c r="C47" t="inlineStr"/>
      <c r="D47" t="inlineStr"/>
      <c r="E47" t="inlineStr"/>
    </row>
    <row r="48">
      <c r="A48" t="inlineStr">
        <is>
          <t>Prob (F-statistic)</t>
        </is>
      </c>
      <c r="B48" t="inlineStr">
        <is>
          <t>2.0376e-01</t>
        </is>
      </c>
      <c r="C48" t="inlineStr"/>
      <c r="D48" t="inlineStr"/>
      <c r="E48" t="inlineStr"/>
    </row>
    <row r="49">
      <c r="A49" t="inlineStr">
        <is>
          <t>--- [ Coefficients ] ---</t>
        </is>
      </c>
      <c r="B49" t="inlineStr"/>
      <c r="C49" t="inlineStr"/>
      <c r="D49" t="inlineStr"/>
      <c r="E49" t="inlineStr"/>
    </row>
    <row r="50">
      <c r="A50" t="inlineStr">
        <is>
          <t>Intercept</t>
        </is>
      </c>
      <c r="B50" t="n">
        <v>7596.1394</v>
      </c>
      <c r="C50" t="n">
        <v>1792.8225</v>
      </c>
      <c r="D50" t="n">
        <v>13399.4562</v>
      </c>
      <c r="E50" t="inlineStr">
        <is>
          <t>0.010</t>
        </is>
      </c>
    </row>
    <row r="51">
      <c r="A51" t="inlineStr">
        <is>
          <t>C(gender)[T.MALE]</t>
        </is>
      </c>
      <c r="B51" t="n">
        <v>757.0653</v>
      </c>
      <c r="C51" t="n">
        <v>-783.5663</v>
      </c>
      <c r="D51" t="n">
        <v>2297.697</v>
      </c>
      <c r="E51" t="inlineStr">
        <is>
          <t>0.334</t>
        </is>
      </c>
    </row>
    <row r="52">
      <c r="A52" t="inlineStr">
        <is>
          <t>C(pathologic_M)[T.1.0]</t>
        </is>
      </c>
      <c r="B52" t="n">
        <v>4627.582</v>
      </c>
      <c r="C52" t="n">
        <v>-486.6125</v>
      </c>
      <c r="D52" t="n">
        <v>9741.776400000001</v>
      </c>
      <c r="E52" t="inlineStr">
        <is>
          <t>0.076</t>
        </is>
      </c>
    </row>
    <row r="53">
      <c r="A53" t="inlineStr">
        <is>
          <t>age</t>
        </is>
      </c>
      <c r="B53" t="n">
        <v>49.057</v>
      </c>
      <c r="C53" t="n">
        <v>-33.4087</v>
      </c>
      <c r="D53" t="n">
        <v>131.5227</v>
      </c>
      <c r="E53" t="inlineStr">
        <is>
          <t>0.243</t>
        </is>
      </c>
    </row>
    <row r="54">
      <c r="A54" t="inlineStr">
        <is>
          <t>number_pack_years_smoked</t>
        </is>
      </c>
      <c r="B54" t="n">
        <v>3.0511</v>
      </c>
      <c r="C54" t="n">
        <v>-18.6294</v>
      </c>
      <c r="D54" t="n">
        <v>24.7315</v>
      </c>
      <c r="E54" t="inlineStr">
        <is>
          <t>0.782</t>
        </is>
      </c>
    </row>
    <row r="55">
      <c r="A55" t="inlineStr"/>
      <c r="B55" t="inlineStr"/>
      <c r="C55" t="inlineStr"/>
      <c r="D55" t="inlineStr"/>
      <c r="E5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2026-06-22T17:46:41Z</dcterms:created>
  <dcterms:modified xsi:type="dcterms:W3CDTF">2026-06-22T17:46:41Z</dcterms:modified>
</cp:coreProperties>
</file>
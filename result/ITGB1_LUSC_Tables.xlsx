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3.1 (Cox)_stage_continuous" sheetId="4" state="visible" r:id="rId4"/>
    <sheet name="Table 4 (Multivariate OLS)" sheetId="5" state="visible" r:id="rId5"/>
    <sheet name="Table 5 (KM Log-ran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84</v>
      </c>
      <c r="C3" t="n">
        <v>105</v>
      </c>
      <c r="D3" t="inlineStr">
        <is>
          <t>0.047</t>
        </is>
      </c>
    </row>
    <row r="4">
      <c r="A4" t="inlineStr">
        <is>
          <t xml:space="preserve">  1.0</t>
        </is>
      </c>
      <c r="B4" t="n">
        <v>160</v>
      </c>
      <c r="C4" t="n">
        <v>138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65</v>
      </c>
      <c r="C6" t="n">
        <v>61</v>
      </c>
      <c r="D6" t="inlineStr">
        <is>
          <t>0.699</t>
        </is>
      </c>
    </row>
    <row r="7">
      <c r="A7" t="inlineStr">
        <is>
          <t xml:space="preserve">  MALE</t>
        </is>
      </c>
      <c r="B7" t="n">
        <v>179</v>
      </c>
      <c r="C7" t="n">
        <v>182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110</v>
      </c>
      <c r="C9" t="n">
        <v>128</v>
      </c>
      <c r="D9" t="inlineStr">
        <is>
          <t>0.022</t>
        </is>
      </c>
    </row>
    <row r="10">
      <c r="A10" t="inlineStr">
        <is>
          <t xml:space="preserve">  2.0</t>
        </is>
      </c>
      <c r="B10" t="n">
        <v>85</v>
      </c>
      <c r="C10" t="n">
        <v>71</v>
      </c>
      <c r="D10" t="inlineStr"/>
    </row>
    <row r="11">
      <c r="A11" t="inlineStr">
        <is>
          <t xml:space="preserve">  3.0</t>
        </is>
      </c>
      <c r="B11" t="n">
        <v>40</v>
      </c>
      <c r="C11" t="n">
        <v>42</v>
      </c>
      <c r="D11" t="inlineStr"/>
    </row>
    <row r="12">
      <c r="A12" t="inlineStr">
        <is>
          <t xml:space="preserve">  4.0</t>
        </is>
      </c>
      <c r="B12" t="n">
        <v>7</v>
      </c>
      <c r="C12" t="n">
        <v>0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198</v>
      </c>
      <c r="C14" t="n">
        <v>202</v>
      </c>
      <c r="D14" t="inlineStr">
        <is>
          <t>0.008</t>
        </is>
      </c>
    </row>
    <row r="15">
      <c r="A15" t="inlineStr">
        <is>
          <t xml:space="preserve">  1.0</t>
        </is>
      </c>
      <c r="B15" t="n">
        <v>7</v>
      </c>
      <c r="C15" t="n">
        <v>0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158</v>
      </c>
      <c r="C17" t="n">
        <v>153</v>
      </c>
      <c r="D17" t="inlineStr">
        <is>
          <t>0.583</t>
        </is>
      </c>
    </row>
    <row r="18">
      <c r="A18" t="inlineStr">
        <is>
          <t xml:space="preserve">  1.0</t>
        </is>
      </c>
      <c r="B18" t="n">
        <v>66</v>
      </c>
      <c r="C18" t="n">
        <v>60</v>
      </c>
      <c r="D18" t="inlineStr"/>
    </row>
    <row r="19">
      <c r="A19" t="inlineStr">
        <is>
          <t xml:space="preserve">  2.0</t>
        </is>
      </c>
      <c r="B19" t="n">
        <v>16</v>
      </c>
      <c r="C19" t="n">
        <v>24</v>
      </c>
      <c r="D19" t="inlineStr"/>
    </row>
    <row r="20">
      <c r="A20" t="inlineStr">
        <is>
          <t xml:space="preserve">  3.0</t>
        </is>
      </c>
      <c r="B20" t="n">
        <v>2</v>
      </c>
      <c r="C20" t="n">
        <v>2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51</v>
      </c>
      <c r="C22" t="n">
        <v>58</v>
      </c>
      <c r="D22" t="inlineStr">
        <is>
          <t>0.218</t>
        </is>
      </c>
    </row>
    <row r="23">
      <c r="A23" t="inlineStr">
        <is>
          <t xml:space="preserve">  2.0</t>
        </is>
      </c>
      <c r="B23" t="n">
        <v>138</v>
      </c>
      <c r="C23" t="n">
        <v>147</v>
      </c>
      <c r="D23" t="inlineStr"/>
    </row>
    <row r="24">
      <c r="A24" t="inlineStr">
        <is>
          <t xml:space="preserve">  3.0</t>
        </is>
      </c>
      <c r="B24" t="n">
        <v>43</v>
      </c>
      <c r="C24" t="n">
        <v>27</v>
      </c>
      <c r="D24" t="inlineStr"/>
    </row>
    <row r="25">
      <c r="A25" t="inlineStr">
        <is>
          <t xml:space="preserve">  4.0</t>
        </is>
      </c>
      <c r="B25" t="n">
        <v>12</v>
      </c>
      <c r="C25" t="n">
        <v>11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40</v>
      </c>
      <c r="C27" t="n">
        <v>36</v>
      </c>
      <c r="D27" t="inlineStr">
        <is>
          <t>0.618</t>
        </is>
      </c>
    </row>
    <row r="28">
      <c r="A28" t="inlineStr">
        <is>
          <t xml:space="preserve">  1.0</t>
        </is>
      </c>
      <c r="B28" t="n">
        <v>204</v>
      </c>
      <c r="C28" t="n">
        <v>208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ITGB1expression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ITGB1expression</t>
        </is>
      </c>
      <c r="B2" t="inlineStr">
        <is>
          <t>R</t>
        </is>
      </c>
      <c r="C2" t="inlineStr">
        <is>
          <t>1</t>
        </is>
      </c>
      <c r="D2" t="inlineStr">
        <is>
          <t>0.019</t>
        </is>
      </c>
      <c r="E2" t="inlineStr">
        <is>
          <t>0.044</t>
        </is>
      </c>
      <c r="F2" t="inlineStr">
        <is>
          <t>-0.080</t>
        </is>
      </c>
      <c r="G2" t="inlineStr">
        <is>
          <t>0.011</t>
        </is>
      </c>
      <c r="H2" t="inlineStr">
        <is>
          <t>-0.399</t>
        </is>
      </c>
      <c r="I2" t="inlineStr">
        <is>
          <t>-0.112</t>
        </is>
      </c>
      <c r="J2" t="inlineStr">
        <is>
          <t>-0.105</t>
        </is>
      </c>
    </row>
    <row r="3">
      <c r="A3" t="inlineStr"/>
      <c r="B3" t="inlineStr">
        <is>
          <t>P-value</t>
        </is>
      </c>
      <c r="C3" t="inlineStr"/>
      <c r="D3" t="inlineStr">
        <is>
          <t>0.705</t>
        </is>
      </c>
      <c r="E3" t="inlineStr">
        <is>
          <t>0.330</t>
        </is>
      </c>
      <c r="F3" t="inlineStr">
        <is>
          <t>0.079</t>
        </is>
      </c>
      <c r="G3" t="inlineStr">
        <is>
          <t>0.807</t>
        </is>
      </c>
      <c r="H3" t="inlineStr">
        <is>
          <t>&lt;0.001</t>
        </is>
      </c>
      <c r="I3" t="inlineStr">
        <is>
          <t>0.013</t>
        </is>
      </c>
      <c r="J3" t="inlineStr">
        <is>
          <t>0.020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0.019</t>
        </is>
      </c>
      <c r="D4" t="inlineStr">
        <is>
          <t>1</t>
        </is>
      </c>
      <c r="E4" t="inlineStr">
        <is>
          <t>0.045</t>
        </is>
      </c>
      <c r="F4" t="inlineStr">
        <is>
          <t>-0.012</t>
        </is>
      </c>
      <c r="G4" t="inlineStr">
        <is>
          <t>-0.021</t>
        </is>
      </c>
      <c r="H4" t="inlineStr">
        <is>
          <t>-0.040</t>
        </is>
      </c>
      <c r="I4" t="inlineStr">
        <is>
          <t>0.018</t>
        </is>
      </c>
      <c r="J4" t="inlineStr">
        <is>
          <t>0.001</t>
        </is>
      </c>
    </row>
    <row r="5">
      <c r="A5" t="inlineStr"/>
      <c r="B5" t="inlineStr">
        <is>
          <t>P-value</t>
        </is>
      </c>
      <c r="C5" t="inlineStr">
        <is>
          <t>0.705</t>
        </is>
      </c>
      <c r="D5" t="inlineStr"/>
      <c r="E5" t="inlineStr">
        <is>
          <t>0.359</t>
        </is>
      </c>
      <c r="F5" t="inlineStr">
        <is>
          <t>0.802</t>
        </is>
      </c>
      <c r="G5" t="inlineStr">
        <is>
          <t>0.675</t>
        </is>
      </c>
      <c r="H5" t="inlineStr">
        <is>
          <t>0.415</t>
        </is>
      </c>
      <c r="I5" t="inlineStr">
        <is>
          <t>0.717</t>
        </is>
      </c>
      <c r="J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0.044</t>
        </is>
      </c>
      <c r="D6" t="inlineStr">
        <is>
          <t>0.045</t>
        </is>
      </c>
      <c r="E6" t="inlineStr">
        <is>
          <t>1</t>
        </is>
      </c>
      <c r="F6" t="inlineStr">
        <is>
          <t>-0.045</t>
        </is>
      </c>
      <c r="G6" t="inlineStr">
        <is>
          <t>-0.012</t>
        </is>
      </c>
      <c r="H6" t="inlineStr">
        <is>
          <t>-0.116</t>
        </is>
      </c>
      <c r="I6" t="inlineStr">
        <is>
          <t>-0.025</t>
        </is>
      </c>
      <c r="J6" t="inlineStr">
        <is>
          <t>-0.012</t>
        </is>
      </c>
    </row>
    <row r="7">
      <c r="A7" t="inlineStr"/>
      <c r="B7" t="inlineStr">
        <is>
          <t>P-value</t>
        </is>
      </c>
      <c r="C7" t="inlineStr">
        <is>
          <t>0.330</t>
        </is>
      </c>
      <c r="D7" t="inlineStr">
        <is>
          <t>0.359</t>
        </is>
      </c>
      <c r="E7" t="inlineStr"/>
      <c r="F7" t="inlineStr">
        <is>
          <t>0.326</t>
        </is>
      </c>
      <c r="G7" t="inlineStr">
        <is>
          <t>0.788</t>
        </is>
      </c>
      <c r="H7" t="inlineStr">
        <is>
          <t>0.011</t>
        </is>
      </c>
      <c r="I7" t="inlineStr">
        <is>
          <t>0.584</t>
        </is>
      </c>
      <c r="J7" t="inlineStr">
        <is>
          <t>0.785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-0.080</t>
        </is>
      </c>
      <c r="D8" t="inlineStr">
        <is>
          <t>-0.012</t>
        </is>
      </c>
      <c r="E8" t="inlineStr">
        <is>
          <t>-0.045</t>
        </is>
      </c>
      <c r="F8" t="inlineStr">
        <is>
          <t>1</t>
        </is>
      </c>
      <c r="G8" t="inlineStr">
        <is>
          <t>-0.011</t>
        </is>
      </c>
      <c r="H8" t="inlineStr">
        <is>
          <t>0.058</t>
        </is>
      </c>
      <c r="I8" t="inlineStr">
        <is>
          <t>0.050</t>
        </is>
      </c>
      <c r="J8" t="inlineStr">
        <is>
          <t>0.196</t>
        </is>
      </c>
    </row>
    <row r="9">
      <c r="A9" t="inlineStr"/>
      <c r="B9" t="inlineStr">
        <is>
          <t>P-value</t>
        </is>
      </c>
      <c r="C9" t="inlineStr">
        <is>
          <t>0.079</t>
        </is>
      </c>
      <c r="D9" t="inlineStr">
        <is>
          <t>0.802</t>
        </is>
      </c>
      <c r="E9" t="inlineStr">
        <is>
          <t>0.326</t>
        </is>
      </c>
      <c r="F9" t="inlineStr"/>
      <c r="G9" t="inlineStr">
        <is>
          <t>0.810</t>
        </is>
      </c>
      <c r="H9" t="inlineStr">
        <is>
          <t>0.200</t>
        </is>
      </c>
      <c r="I9" t="inlineStr">
        <is>
          <t>0.273</t>
        </is>
      </c>
      <c r="J9" t="inlineStr">
        <is>
          <t>&lt;0.001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0.011</t>
        </is>
      </c>
      <c r="D10" t="inlineStr">
        <is>
          <t>-0.021</t>
        </is>
      </c>
      <c r="E10" t="inlineStr">
        <is>
          <t>-0.012</t>
        </is>
      </c>
      <c r="F10" t="inlineStr">
        <is>
          <t>-0.011</t>
        </is>
      </c>
      <c r="G10" t="inlineStr">
        <is>
          <t>1</t>
        </is>
      </c>
      <c r="H10" t="inlineStr">
        <is>
          <t>-0.004</t>
        </is>
      </c>
      <c r="I10" t="inlineStr">
        <is>
          <t>-0.014</t>
        </is>
      </c>
      <c r="J10" t="inlineStr">
        <is>
          <t>-0.074</t>
        </is>
      </c>
    </row>
    <row r="11">
      <c r="A11" t="inlineStr"/>
      <c r="B11" t="inlineStr">
        <is>
          <t>P-value</t>
        </is>
      </c>
      <c r="C11" t="inlineStr">
        <is>
          <t>0.807</t>
        </is>
      </c>
      <c r="D11" t="inlineStr">
        <is>
          <t>0.675</t>
        </is>
      </c>
      <c r="E11" t="inlineStr">
        <is>
          <t>0.788</t>
        </is>
      </c>
      <c r="F11" t="inlineStr">
        <is>
          <t>0.810</t>
        </is>
      </c>
      <c r="G11" t="inlineStr"/>
      <c r="H11" t="inlineStr">
        <is>
          <t>0.929</t>
        </is>
      </c>
      <c r="I11" t="inlineStr">
        <is>
          <t>0.761</t>
        </is>
      </c>
      <c r="J11" t="inlineStr">
        <is>
          <t>0.104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-0.399</t>
        </is>
      </c>
      <c r="D12" t="inlineStr">
        <is>
          <t>-0.040</t>
        </is>
      </c>
      <c r="E12" t="inlineStr">
        <is>
          <t>-0.116</t>
        </is>
      </c>
      <c r="F12" t="inlineStr">
        <is>
          <t>0.058</t>
        </is>
      </c>
      <c r="G12" t="inlineStr">
        <is>
          <t>-0.004</t>
        </is>
      </c>
      <c r="H12" t="inlineStr">
        <is>
          <t>1</t>
        </is>
      </c>
      <c r="I12" t="inlineStr">
        <is>
          <t>0.528</t>
        </is>
      </c>
      <c r="J12" t="inlineStr">
        <is>
          <t>0.004</t>
        </is>
      </c>
    </row>
    <row r="13">
      <c r="A13" t="inlineStr"/>
      <c r="B13" t="inlineStr">
        <is>
          <t>P-value</t>
        </is>
      </c>
      <c r="C13" t="inlineStr">
        <is>
          <t>&lt;0.001</t>
        </is>
      </c>
      <c r="D13" t="inlineStr">
        <is>
          <t>0.415</t>
        </is>
      </c>
      <c r="E13" t="inlineStr">
        <is>
          <t>0.011</t>
        </is>
      </c>
      <c r="F13" t="inlineStr">
        <is>
          <t>0.200</t>
        </is>
      </c>
      <c r="G13" t="inlineStr">
        <is>
          <t>0.929</t>
        </is>
      </c>
      <c r="H13" t="inlineStr"/>
      <c r="I13" t="inlineStr">
        <is>
          <t>&lt;0.001</t>
        </is>
      </c>
      <c r="J13" t="inlineStr">
        <is>
          <t>0.933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-0.112</t>
        </is>
      </c>
      <c r="D14" t="inlineStr">
        <is>
          <t>0.018</t>
        </is>
      </c>
      <c r="E14" t="inlineStr">
        <is>
          <t>-0.025</t>
        </is>
      </c>
      <c r="F14" t="inlineStr">
        <is>
          <t>0.050</t>
        </is>
      </c>
      <c r="G14" t="inlineStr">
        <is>
          <t>-0.014</t>
        </is>
      </c>
      <c r="H14" t="inlineStr">
        <is>
          <t>0.528</t>
        </is>
      </c>
      <c r="I14" t="inlineStr">
        <is>
          <t>1</t>
        </is>
      </c>
      <c r="J14" t="inlineStr">
        <is>
          <t>-0.032</t>
        </is>
      </c>
    </row>
    <row r="15">
      <c r="A15" t="inlineStr"/>
      <c r="B15" t="inlineStr">
        <is>
          <t>P-value</t>
        </is>
      </c>
      <c r="C15" t="inlineStr">
        <is>
          <t>0.013</t>
        </is>
      </c>
      <c r="D15" t="inlineStr">
        <is>
          <t>0.717</t>
        </is>
      </c>
      <c r="E15" t="inlineStr">
        <is>
          <t>0.584</t>
        </is>
      </c>
      <c r="F15" t="inlineStr">
        <is>
          <t>0.273</t>
        </is>
      </c>
      <c r="G15" t="inlineStr">
        <is>
          <t>0.761</t>
        </is>
      </c>
      <c r="H15" t="inlineStr">
        <is>
          <t>&lt;0.001</t>
        </is>
      </c>
      <c r="I15" t="inlineStr"/>
      <c r="J15" t="inlineStr">
        <is>
          <t>0.482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-0.105</t>
        </is>
      </c>
      <c r="D16" t="inlineStr">
        <is>
          <t>0.001</t>
        </is>
      </c>
      <c r="E16" t="inlineStr">
        <is>
          <t>-0.012</t>
        </is>
      </c>
      <c r="F16" t="inlineStr">
        <is>
          <t>0.196</t>
        </is>
      </c>
      <c r="G16" t="inlineStr">
        <is>
          <t>-0.074</t>
        </is>
      </c>
      <c r="H16" t="inlineStr">
        <is>
          <t>0.004</t>
        </is>
      </c>
      <c r="I16" t="inlineStr">
        <is>
          <t>-0.032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0.020</t>
        </is>
      </c>
      <c r="D17" t="inlineStr">
        <is>
          <t>0.981</t>
        </is>
      </c>
      <c r="E17" t="inlineStr">
        <is>
          <t>0.785</t>
        </is>
      </c>
      <c r="F17" t="inlineStr">
        <is>
          <t>&lt;0.001</t>
        </is>
      </c>
      <c r="G17" t="inlineStr">
        <is>
          <t>0.104</t>
        </is>
      </c>
      <c r="H17" t="inlineStr">
        <is>
          <t>0.933</t>
        </is>
      </c>
      <c r="I17" t="inlineStr">
        <is>
          <t>0.482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</t>
        </is>
      </c>
      <c r="B2" t="n">
        <v>1.021</v>
      </c>
      <c r="C2" t="n">
        <v>1.002</v>
      </c>
      <c r="D2" t="n">
        <v>1.04</v>
      </c>
      <c r="E2" t="inlineStr">
        <is>
          <t>0.031</t>
        </is>
      </c>
    </row>
    <row r="3">
      <c r="A3" t="inlineStr">
        <is>
          <t>number_pack_years_smoked</t>
        </is>
      </c>
      <c r="B3" t="n">
        <v>1</v>
      </c>
      <c r="C3" t="n">
        <v>0.995</v>
      </c>
      <c r="D3" t="n">
        <v>1.005</v>
      </c>
      <c r="E3" t="inlineStr">
        <is>
          <t>0.986</t>
        </is>
      </c>
    </row>
    <row r="4">
      <c r="A4" t="inlineStr">
        <is>
          <t>ITGB1group_Low</t>
        </is>
      </c>
      <c r="B4" t="n">
        <v>0.8070000000000001</v>
      </c>
      <c r="C4" t="n">
        <v>0.597</v>
      </c>
      <c r="D4" t="n">
        <v>1.091</v>
      </c>
      <c r="E4" t="inlineStr">
        <is>
          <t>0.163</t>
        </is>
      </c>
    </row>
    <row r="5">
      <c r="A5" t="inlineStr">
        <is>
          <t>gender_MALE</t>
        </is>
      </c>
      <c r="B5" t="n">
        <v>1.241</v>
      </c>
      <c r="C5" t="n">
        <v>0.875</v>
      </c>
      <c r="D5" t="n">
        <v>1.76</v>
      </c>
      <c r="E5" t="inlineStr">
        <is>
          <t>0.226</t>
        </is>
      </c>
    </row>
    <row r="6">
      <c r="A6" t="inlineStr">
        <is>
          <t>pathologic_stage_2.0</t>
        </is>
      </c>
      <c r="B6" t="n">
        <v>0.997</v>
      </c>
      <c r="C6" t="n">
        <v>0.702</v>
      </c>
      <c r="D6" t="n">
        <v>1.415</v>
      </c>
      <c r="E6" t="inlineStr">
        <is>
          <t>0.987</t>
        </is>
      </c>
    </row>
    <row r="7">
      <c r="A7" t="inlineStr">
        <is>
          <t>pathologic_stage_3.0</t>
        </is>
      </c>
      <c r="B7" t="n">
        <v>1.366</v>
      </c>
      <c r="C7" t="n">
        <v>0.919</v>
      </c>
      <c r="D7" t="n">
        <v>2.031</v>
      </c>
      <c r="E7" t="inlineStr">
        <is>
          <t>0.123</t>
        </is>
      </c>
    </row>
    <row r="8">
      <c r="A8" t="inlineStr">
        <is>
          <t>pathologic_stage_4.0</t>
        </is>
      </c>
      <c r="B8" t="n">
        <v>2.791</v>
      </c>
      <c r="C8" t="n">
        <v>1.1</v>
      </c>
      <c r="D8" t="n">
        <v>7.085</v>
      </c>
      <c r="E8" t="inlineStr">
        <is>
          <t>0.031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</t>
        </is>
      </c>
      <c r="B2" t="n">
        <v>1.021</v>
      </c>
      <c r="C2" t="n">
        <v>1.003</v>
      </c>
      <c r="D2" t="n">
        <v>1.041</v>
      </c>
      <c r="E2" t="inlineStr">
        <is>
          <t>0.026</t>
        </is>
      </c>
    </row>
    <row r="3">
      <c r="A3" t="inlineStr">
        <is>
          <t>number_pack_years_smoked</t>
        </is>
      </c>
      <c r="B3" t="n">
        <v>1</v>
      </c>
      <c r="C3" t="n">
        <v>0.995</v>
      </c>
      <c r="D3" t="n">
        <v>1.004</v>
      </c>
      <c r="E3" t="inlineStr">
        <is>
          <t>0.920</t>
        </is>
      </c>
    </row>
    <row r="4">
      <c r="A4" t="inlineStr">
        <is>
          <t>pathologic_stage</t>
        </is>
      </c>
      <c r="B4" t="n">
        <v>1.195</v>
      </c>
      <c r="C4" t="n">
        <v>0.996</v>
      </c>
      <c r="D4" t="n">
        <v>1.432</v>
      </c>
      <c r="E4" t="inlineStr">
        <is>
          <t>0.055</t>
        </is>
      </c>
    </row>
    <row r="5">
      <c r="A5" t="inlineStr">
        <is>
          <t>ITGB1group_Low</t>
        </is>
      </c>
      <c r="B5" t="n">
        <v>0.805</v>
      </c>
      <c r="C5" t="n">
        <v>0.598</v>
      </c>
      <c r="D5" t="n">
        <v>1.083</v>
      </c>
      <c r="E5" t="inlineStr">
        <is>
          <t>0.152</t>
        </is>
      </c>
    </row>
    <row r="6">
      <c r="A6" t="inlineStr">
        <is>
          <t>gender_MALE</t>
        </is>
      </c>
      <c r="B6" t="n">
        <v>1.25</v>
      </c>
      <c r="C6" t="n">
        <v>0.884</v>
      </c>
      <c r="D6" t="n">
        <v>1.767</v>
      </c>
      <c r="E6" t="inlineStr">
        <is>
          <t>0.207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</row>
    <row r="3">
      <c r="A3" t="inlineStr">
        <is>
          <t>Dependent Variable (Y)</t>
        </is>
      </c>
      <c r="B3" t="inlineStr">
        <is>
          <t>ITGB1expression</t>
        </is>
      </c>
      <c r="C3" t="inlineStr"/>
      <c r="D3" t="inlineStr"/>
    </row>
    <row r="4">
      <c r="A4" t="inlineStr">
        <is>
          <t>Model Formula</t>
        </is>
      </c>
      <c r="B4" t="inlineStr">
        <is>
          <t>ITGB1expression ~ age + number_pack_years_smoked + C(gender)</t>
        </is>
      </c>
      <c r="C4" t="inlineStr"/>
      <c r="D4" t="inlineStr"/>
    </row>
    <row r="5">
      <c r="A5" t="inlineStr">
        <is>
          <t>R-squared</t>
        </is>
      </c>
      <c r="B5" t="inlineStr">
        <is>
          <t>0.0056</t>
        </is>
      </c>
      <c r="C5" t="inlineStr"/>
      <c r="D5" t="inlineStr"/>
    </row>
    <row r="6">
      <c r="A6" t="inlineStr">
        <is>
          <t>Prob (F-statistic)</t>
        </is>
      </c>
      <c r="B6" t="inlineStr">
        <is>
          <t>5.1350e-01</t>
        </is>
      </c>
      <c r="C6" t="inlineStr"/>
      <c r="D6" t="inlineStr"/>
    </row>
    <row r="7">
      <c r="A7" t="inlineStr">
        <is>
          <t>--- [ Coefficients ] ---</t>
        </is>
      </c>
      <c r="B7" t="inlineStr"/>
      <c r="C7" t="inlineStr"/>
      <c r="D7" t="inlineStr"/>
    </row>
    <row r="8">
      <c r="A8" t="inlineStr">
        <is>
          <t>Intercept</t>
        </is>
      </c>
      <c r="B8" t="n">
        <v>7841.803</v>
      </c>
      <c r="C8" t="inlineStr">
        <is>
          <t>2893.421-12790.185</t>
        </is>
      </c>
      <c r="D8" t="inlineStr">
        <is>
          <t>0.002</t>
        </is>
      </c>
    </row>
    <row r="9">
      <c r="A9" t="inlineStr">
        <is>
          <t>C(gender)[T.MALE]</t>
        </is>
      </c>
      <c r="B9" t="n">
        <v>434.291</v>
      </c>
      <c r="C9" t="inlineStr">
        <is>
          <t>-906.538-1775.119</t>
        </is>
      </c>
      <c r="D9" t="inlineStr">
        <is>
          <t>0.525</t>
        </is>
      </c>
    </row>
    <row r="10">
      <c r="A10" t="inlineStr">
        <is>
          <t>age</t>
        </is>
      </c>
      <c r="B10" t="n">
        <v>48.139</v>
      </c>
      <c r="C10" t="inlineStr">
        <is>
          <t>-22.663-118.941</t>
        </is>
      </c>
      <c r="D10" t="inlineStr">
        <is>
          <t>0.182</t>
        </is>
      </c>
    </row>
    <row r="11">
      <c r="A11" t="inlineStr">
        <is>
          <t>number_pack_years_smoked</t>
        </is>
      </c>
      <c r="B11" t="n">
        <v>2.26</v>
      </c>
      <c r="C11" t="inlineStr">
        <is>
          <t>-16.618-21.137</t>
        </is>
      </c>
      <c r="D11" t="inlineStr">
        <is>
          <t>0.814</t>
        </is>
      </c>
    </row>
    <row r="12">
      <c r="A12" t="inlineStr"/>
      <c r="B12" t="inlineStr"/>
      <c r="C12" t="inlineStr"/>
      <c r="D12" t="inlineStr"/>
    </row>
    <row r="13">
      <c r="A13">
        <f>== [ Model: Base + Pathologic Stage ] ===</f>
        <v/>
      </c>
      <c r="B13" t="inlineStr"/>
      <c r="C13" t="inlineStr"/>
      <c r="D13" t="inlineStr"/>
    </row>
    <row r="14">
      <c r="A14" t="inlineStr">
        <is>
          <t>Dependent Variable (Y)</t>
        </is>
      </c>
      <c r="B14" t="inlineStr">
        <is>
          <t>ITGB1expression</t>
        </is>
      </c>
      <c r="C14" t="inlineStr"/>
      <c r="D14" t="inlineStr"/>
    </row>
    <row r="15">
      <c r="A15" t="inlineStr">
        <is>
          <t>Model Formula</t>
        </is>
      </c>
      <c r="B15" t="inlineStr">
        <is>
          <t>ITGB1expression ~ age + number_pack_years_smoked + C(gender) + C(pathologic_stage)</t>
        </is>
      </c>
      <c r="C15" t="inlineStr"/>
      <c r="D15" t="inlineStr"/>
    </row>
    <row r="16">
      <c r="A16" t="inlineStr">
        <is>
          <t>R-squared</t>
        </is>
      </c>
      <c r="B16" t="inlineStr">
        <is>
          <t>0.0242</t>
        </is>
      </c>
      <c r="C16" t="inlineStr"/>
      <c r="D16" t="inlineStr"/>
    </row>
    <row r="17">
      <c r="A17" t="inlineStr">
        <is>
          <t>Prob (F-statistic)</t>
        </is>
      </c>
      <c r="B17" t="inlineStr">
        <is>
          <t>1.2913e-01</t>
        </is>
      </c>
      <c r="C17" t="inlineStr"/>
      <c r="D17" t="inlineStr"/>
    </row>
    <row r="18">
      <c r="A18" t="inlineStr">
        <is>
          <t>--- [ Coefficients ] ---</t>
        </is>
      </c>
      <c r="B18" t="inlineStr"/>
      <c r="C18" t="inlineStr"/>
      <c r="D18" t="inlineStr"/>
    </row>
    <row r="19">
      <c r="A19" t="inlineStr">
        <is>
          <t>Intercept</t>
        </is>
      </c>
      <c r="B19" t="n">
        <v>7270.4</v>
      </c>
      <c r="C19" t="inlineStr">
        <is>
          <t>2208.819-12331.982</t>
        </is>
      </c>
      <c r="D19" t="inlineStr">
        <is>
          <t>0.005</t>
        </is>
      </c>
    </row>
    <row r="20">
      <c r="A20" t="inlineStr">
        <is>
          <t>C(gender)[T.MALE]</t>
        </is>
      </c>
      <c r="B20" t="n">
        <v>303.611</v>
      </c>
      <c r="C20" t="inlineStr">
        <is>
          <t>-1039.323-1646.545</t>
        </is>
      </c>
      <c r="D20" t="inlineStr">
        <is>
          <t>0.657</t>
        </is>
      </c>
    </row>
    <row r="21">
      <c r="A21" t="inlineStr">
        <is>
          <t>C(pathologic_stage)[T.2.0]</t>
        </is>
      </c>
      <c r="B21" t="n">
        <v>1329.212</v>
      </c>
      <c r="C21" t="inlineStr">
        <is>
          <t>-1.4-2659.824</t>
        </is>
      </c>
      <c r="D21" t="inlineStr">
        <is>
          <t>0.050</t>
        </is>
      </c>
    </row>
    <row r="22">
      <c r="A22" t="inlineStr">
        <is>
          <t>C(pathologic_stage)[T.3.0]</t>
        </is>
      </c>
      <c r="B22" t="n">
        <v>772.764</v>
      </c>
      <c r="C22" t="inlineStr">
        <is>
          <t>-898.249-2443.777</t>
        </is>
      </c>
      <c r="D22" t="inlineStr">
        <is>
          <t>0.364</t>
        </is>
      </c>
    </row>
    <row r="23">
      <c r="A23" t="inlineStr">
        <is>
          <t>C(pathologic_stage)[T.4.0]</t>
        </is>
      </c>
      <c r="B23" t="n">
        <v>5456.892</v>
      </c>
      <c r="C23" t="inlineStr">
        <is>
          <t>537.471-10376.314</t>
        </is>
      </c>
      <c r="D23" t="inlineStr">
        <is>
          <t>0.030</t>
        </is>
      </c>
    </row>
    <row r="24">
      <c r="A24" t="inlineStr">
        <is>
          <t>age</t>
        </is>
      </c>
      <c r="B24" t="n">
        <v>48.532</v>
      </c>
      <c r="C24" t="inlineStr">
        <is>
          <t>-22.755-119.819</t>
        </is>
      </c>
      <c r="D24" t="inlineStr">
        <is>
          <t>0.182</t>
        </is>
      </c>
    </row>
    <row r="25">
      <c r="A25" t="inlineStr">
        <is>
          <t>number_pack_years_smoked</t>
        </is>
      </c>
      <c r="B25" t="n">
        <v>2.739</v>
      </c>
      <c r="C25" t="inlineStr">
        <is>
          <t>-16.126-21.604</t>
        </is>
      </c>
      <c r="D25" t="inlineStr">
        <is>
          <t>0.775</t>
        </is>
      </c>
    </row>
    <row r="26">
      <c r="A26" t="inlineStr"/>
      <c r="B26" t="inlineStr"/>
      <c r="C26" t="inlineStr"/>
      <c r="D26" t="inlineStr"/>
    </row>
    <row r="27">
      <c r="A27">
        <f>== [ Model: Base + Pathologic T ] ===</f>
        <v/>
      </c>
      <c r="B27" t="inlineStr"/>
      <c r="C27" t="inlineStr"/>
      <c r="D27" t="inlineStr"/>
    </row>
    <row r="28">
      <c r="A28" t="inlineStr">
        <is>
          <t>Dependent Variable (Y)</t>
        </is>
      </c>
      <c r="B28" t="inlineStr">
        <is>
          <t>ITGB1expression</t>
        </is>
      </c>
      <c r="C28" t="inlineStr"/>
      <c r="D28" t="inlineStr"/>
    </row>
    <row r="29">
      <c r="A29" t="inlineStr">
        <is>
          <t>Model Formula</t>
        </is>
      </c>
      <c r="B29" t="inlineStr">
        <is>
          <t>ITGB1expression ~ age + number_pack_years_smoked + C(gender) + C(pathologic_T)</t>
        </is>
      </c>
      <c r="C29" t="inlineStr"/>
      <c r="D29" t="inlineStr"/>
    </row>
    <row r="30">
      <c r="A30" t="inlineStr">
        <is>
          <t>R-squared</t>
        </is>
      </c>
      <c r="B30" t="inlineStr">
        <is>
          <t>0.0160</t>
        </is>
      </c>
      <c r="C30" t="inlineStr"/>
      <c r="D30" t="inlineStr"/>
    </row>
    <row r="31">
      <c r="A31" t="inlineStr">
        <is>
          <t>Prob (F-statistic)</t>
        </is>
      </c>
      <c r="B31" t="inlineStr">
        <is>
          <t>3.6460e-01</t>
        </is>
      </c>
      <c r="C31" t="inlineStr"/>
      <c r="D31" t="inlineStr"/>
    </row>
    <row r="32">
      <c r="A32" t="inlineStr">
        <is>
          <t>--- [ Coefficients ] ---</t>
        </is>
      </c>
      <c r="B32" t="inlineStr"/>
      <c r="C32" t="inlineStr"/>
      <c r="D32" t="inlineStr"/>
    </row>
    <row r="33">
      <c r="A33" t="inlineStr">
        <is>
          <t>Intercept</t>
        </is>
      </c>
      <c r="B33" t="n">
        <v>6872.627</v>
      </c>
      <c r="C33" t="inlineStr">
        <is>
          <t>1837.412-11907.842</t>
        </is>
      </c>
      <c r="D33" t="inlineStr">
        <is>
          <t>0.008</t>
        </is>
      </c>
    </row>
    <row r="34">
      <c r="A34" t="inlineStr">
        <is>
          <t>C(gender)[T.MALE]</t>
        </is>
      </c>
      <c r="B34" t="n">
        <v>347.825</v>
      </c>
      <c r="C34" t="inlineStr">
        <is>
          <t>-1008.395-1704.045</t>
        </is>
      </c>
      <c r="D34" t="inlineStr">
        <is>
          <t>0.614</t>
        </is>
      </c>
    </row>
    <row r="35">
      <c r="A35" t="inlineStr">
        <is>
          <t>C(pathologic_T)[T.2.0]</t>
        </is>
      </c>
      <c r="B35" t="n">
        <v>956.188</v>
      </c>
      <c r="C35" t="inlineStr">
        <is>
          <t>-496.496-2408.873</t>
        </is>
      </c>
      <c r="D35" t="inlineStr">
        <is>
          <t>0.196</t>
        </is>
      </c>
    </row>
    <row r="36">
      <c r="A36" t="inlineStr">
        <is>
          <t>C(pathologic_T)[T.3.0]</t>
        </is>
      </c>
      <c r="B36" t="n">
        <v>2120.057</v>
      </c>
      <c r="C36" t="inlineStr">
        <is>
          <t>79.924-4160.191</t>
        </is>
      </c>
      <c r="D36" t="inlineStr">
        <is>
          <t>0.042</t>
        </is>
      </c>
    </row>
    <row r="37">
      <c r="A37" t="inlineStr">
        <is>
          <t>C(pathologic_T)[T.4.0]</t>
        </is>
      </c>
      <c r="B37" t="n">
        <v>971.085</v>
      </c>
      <c r="C37" t="inlineStr">
        <is>
          <t>-2169.712-4111.882</t>
        </is>
      </c>
      <c r="D37" t="inlineStr">
        <is>
          <t>0.544</t>
        </is>
      </c>
    </row>
    <row r="38">
      <c r="A38" t="inlineStr">
        <is>
          <t>age</t>
        </is>
      </c>
      <c r="B38" t="n">
        <v>49.613</v>
      </c>
      <c r="C38" t="inlineStr">
        <is>
          <t>-21.316-120.541</t>
        </is>
      </c>
      <c r="D38" t="inlineStr">
        <is>
          <t>0.170</t>
        </is>
      </c>
    </row>
    <row r="39">
      <c r="A39" t="inlineStr">
        <is>
          <t>number_pack_years_smoked</t>
        </is>
      </c>
      <c r="B39" t="n">
        <v>3.118</v>
      </c>
      <c r="C39" t="inlineStr">
        <is>
          <t>-15.77-22.007</t>
        </is>
      </c>
      <c r="D39" t="inlineStr">
        <is>
          <t>0.746</t>
        </is>
      </c>
    </row>
    <row r="40">
      <c r="A40" t="inlineStr"/>
      <c r="B40" t="inlineStr"/>
      <c r="C40" t="inlineStr"/>
      <c r="D40" t="inlineStr"/>
    </row>
    <row r="41">
      <c r="A41">
        <f>== [ Model: Base + Pathologic N ] ===</f>
        <v/>
      </c>
      <c r="B41" t="inlineStr"/>
      <c r="C41" t="inlineStr"/>
      <c r="D41" t="inlineStr"/>
    </row>
    <row r="42">
      <c r="A42" t="inlineStr">
        <is>
          <t>Dependent Variable (Y)</t>
        </is>
      </c>
      <c r="B42" t="inlineStr">
        <is>
          <t>ITGB1expression</t>
        </is>
      </c>
      <c r="C42" t="inlineStr"/>
      <c r="D42" t="inlineStr"/>
    </row>
    <row r="43">
      <c r="A43" t="inlineStr">
        <is>
          <t>Model Formula</t>
        </is>
      </c>
      <c r="B43" t="inlineStr">
        <is>
          <t>ITGB1expression ~ age + number_pack_years_smoked + C(gender) + C(pathologic_N)</t>
        </is>
      </c>
      <c r="C43" t="inlineStr"/>
      <c r="D43" t="inlineStr"/>
    </row>
    <row r="44">
      <c r="A44" t="inlineStr">
        <is>
          <t>R-squared</t>
        </is>
      </c>
      <c r="B44" t="inlineStr">
        <is>
          <t>0.0128</t>
        </is>
      </c>
      <c r="C44" t="inlineStr"/>
      <c r="D44" t="inlineStr"/>
    </row>
    <row r="45">
      <c r="A45" t="inlineStr">
        <is>
          <t>Prob (F-statistic)</t>
        </is>
      </c>
      <c r="B45" t="inlineStr">
        <is>
          <t>5.2260e-01</t>
        </is>
      </c>
      <c r="C45" t="inlineStr"/>
      <c r="D45" t="inlineStr"/>
    </row>
    <row r="46">
      <c r="A46" t="inlineStr">
        <is>
          <t>--- [ Coefficients ] ---</t>
        </is>
      </c>
      <c r="B46" t="inlineStr"/>
      <c r="C46" t="inlineStr"/>
      <c r="D46" t="inlineStr"/>
    </row>
    <row r="47">
      <c r="A47" t="inlineStr">
        <is>
          <t>Intercept</t>
        </is>
      </c>
      <c r="B47" t="n">
        <v>7582.381</v>
      </c>
      <c r="C47" t="inlineStr">
        <is>
          <t>2439.456-12725.305</t>
        </is>
      </c>
      <c r="D47" t="inlineStr">
        <is>
          <t>0.004</t>
        </is>
      </c>
    </row>
    <row r="48">
      <c r="A48" t="inlineStr">
        <is>
          <t>C(gender)[T.MALE]</t>
        </is>
      </c>
      <c r="B48" t="n">
        <v>431.194</v>
      </c>
      <c r="C48" t="inlineStr">
        <is>
          <t>-918.818-1781.206</t>
        </is>
      </c>
      <c r="D48" t="inlineStr">
        <is>
          <t>0.530</t>
        </is>
      </c>
    </row>
    <row r="49">
      <c r="A49" t="inlineStr">
        <is>
          <t>C(pathologic_N)[T.1.0]</t>
        </is>
      </c>
      <c r="B49" t="n">
        <v>738.938</v>
      </c>
      <c r="C49" t="inlineStr">
        <is>
          <t>-632.492-2110.368</t>
        </is>
      </c>
      <c r="D49" t="inlineStr">
        <is>
          <t>0.290</t>
        </is>
      </c>
    </row>
    <row r="50">
      <c r="A50" t="inlineStr">
        <is>
          <t>C(pathologic_N)[T.2.0]</t>
        </is>
      </c>
      <c r="B50" t="n">
        <v>-1145.738</v>
      </c>
      <c r="C50" t="inlineStr">
        <is>
          <t>-3363.898-1072.422</t>
        </is>
      </c>
      <c r="D50" t="inlineStr">
        <is>
          <t>0.311</t>
        </is>
      </c>
    </row>
    <row r="51">
      <c r="A51" t="inlineStr">
        <is>
          <t>C(pathologic_N)[T.3.0]</t>
        </is>
      </c>
      <c r="B51" t="n">
        <v>43.982</v>
      </c>
      <c r="C51" t="inlineStr">
        <is>
          <t>-5969.952-6057.915</t>
        </is>
      </c>
      <c r="D51" t="inlineStr">
        <is>
          <t>0.989</t>
        </is>
      </c>
    </row>
    <row r="52">
      <c r="A52" t="inlineStr">
        <is>
          <t>age</t>
        </is>
      </c>
      <c r="B52" t="n">
        <v>50.256</v>
      </c>
      <c r="C52" t="inlineStr">
        <is>
          <t>-22.517-123.03</t>
        </is>
      </c>
      <c r="D52" t="inlineStr">
        <is>
          <t>0.175</t>
        </is>
      </c>
    </row>
    <row r="53">
      <c r="A53" t="inlineStr">
        <is>
          <t>number_pack_years_smoked</t>
        </is>
      </c>
      <c r="B53" t="n">
        <v>2.693</v>
      </c>
      <c r="C53" t="inlineStr">
        <is>
          <t>-16.34-21.725</t>
        </is>
      </c>
      <c r="D53" t="inlineStr">
        <is>
          <t>0.781</t>
        </is>
      </c>
    </row>
    <row r="54">
      <c r="A54" t="inlineStr"/>
      <c r="B54" t="inlineStr"/>
      <c r="C54" t="inlineStr"/>
      <c r="D54" t="inlineStr"/>
    </row>
    <row r="55">
      <c r="A55">
        <f>== [ Model: Base + Pathologic M ] ===</f>
        <v/>
      </c>
      <c r="B55" t="inlineStr"/>
      <c r="C55" t="inlineStr"/>
      <c r="D55" t="inlineStr"/>
    </row>
    <row r="56">
      <c r="A56" t="inlineStr">
        <is>
          <t>Dependent Variable (Y)</t>
        </is>
      </c>
      <c r="B56" t="inlineStr">
        <is>
          <t>ITGB1expression</t>
        </is>
      </c>
      <c r="C56" t="inlineStr"/>
      <c r="D56" t="inlineStr"/>
    </row>
    <row r="57">
      <c r="A57" t="inlineStr">
        <is>
          <t>Model Formula</t>
        </is>
      </c>
      <c r="B57" t="inlineStr">
        <is>
          <t>ITGB1expression ~ age + number_pack_years_smoked + C(gender) + C(pathologic_M)</t>
        </is>
      </c>
      <c r="C57" t="inlineStr"/>
      <c r="D57" t="inlineStr"/>
    </row>
    <row r="58">
      <c r="A58" t="inlineStr">
        <is>
          <t>R-squared</t>
        </is>
      </c>
      <c r="B58" t="inlineStr">
        <is>
          <t>0.0172</t>
        </is>
      </c>
      <c r="C58" t="inlineStr"/>
      <c r="D58" t="inlineStr"/>
    </row>
    <row r="59">
      <c r="A59" t="inlineStr">
        <is>
          <t>Prob (F-statistic)</t>
        </is>
      </c>
      <c r="B59" t="inlineStr">
        <is>
          <t>2.0376e-01</t>
        </is>
      </c>
      <c r="C59" t="inlineStr"/>
      <c r="D59" t="inlineStr"/>
    </row>
    <row r="60">
      <c r="A60" t="inlineStr">
        <is>
          <t>--- [ Coefficients ] ---</t>
        </is>
      </c>
      <c r="B60" t="inlineStr"/>
      <c r="C60" t="inlineStr"/>
      <c r="D60" t="inlineStr"/>
    </row>
    <row r="61">
      <c r="A61" t="inlineStr">
        <is>
          <t>Intercept</t>
        </is>
      </c>
      <c r="B61" t="n">
        <v>7596.139</v>
      </c>
      <c r="C61" t="inlineStr">
        <is>
          <t>1792.822-13399.456</t>
        </is>
      </c>
      <c r="D61" t="inlineStr">
        <is>
          <t>0.010</t>
        </is>
      </c>
    </row>
    <row r="62">
      <c r="A62" t="inlineStr">
        <is>
          <t>C(gender)[T.MALE]</t>
        </is>
      </c>
      <c r="B62" t="n">
        <v>757.0650000000001</v>
      </c>
      <c r="C62" t="inlineStr">
        <is>
          <t>-783.566-2297.697</t>
        </is>
      </c>
      <c r="D62" t="inlineStr">
        <is>
          <t>0.334</t>
        </is>
      </c>
    </row>
    <row r="63">
      <c r="A63" t="inlineStr">
        <is>
          <t>C(pathologic_M)[T.1.0]</t>
        </is>
      </c>
      <c r="B63" t="n">
        <v>4627.582</v>
      </c>
      <c r="C63" t="inlineStr">
        <is>
          <t>-486.612-9741.776</t>
        </is>
      </c>
      <c r="D63" t="inlineStr">
        <is>
          <t>0.076</t>
        </is>
      </c>
    </row>
    <row r="64">
      <c r="A64" t="inlineStr">
        <is>
          <t>age</t>
        </is>
      </c>
      <c r="B64" t="n">
        <v>49.057</v>
      </c>
      <c r="C64" t="inlineStr">
        <is>
          <t>-33.409-131.523</t>
        </is>
      </c>
      <c r="D64" t="inlineStr">
        <is>
          <t>0.243</t>
        </is>
      </c>
    </row>
    <row r="65">
      <c r="A65" t="inlineStr">
        <is>
          <t>number_pack_years_smoked</t>
        </is>
      </c>
      <c r="B65" t="n">
        <v>3.051</v>
      </c>
      <c r="C65" t="inlineStr">
        <is>
          <t>-18.629-24.732</t>
        </is>
      </c>
      <c r="D65" t="inlineStr">
        <is>
          <t>0.782</t>
        </is>
      </c>
    </row>
    <row r="66">
      <c r="A66" t="inlineStr"/>
      <c r="B66" t="inlineStr"/>
      <c r="C66" t="inlineStr"/>
      <c r="D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ITGB1</t>
        </is>
      </c>
      <c r="D2" t="inlineStr">
        <is>
          <t>5.123</t>
        </is>
      </c>
      <c r="E2" t="inlineStr">
        <is>
          <t>0.024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ITGB1</t>
        </is>
      </c>
      <c r="D3" t="inlineStr">
        <is>
          <t>6.366</t>
        </is>
      </c>
      <c r="E3" t="inlineStr">
        <is>
          <t>0.012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2026-07-05T12:23:56Z</dcterms:created>
  <dcterms:modified xsi:type="dcterms:W3CDTF">2026-07-05T12:23:56Z</dcterms:modified>
</cp:coreProperties>
</file>
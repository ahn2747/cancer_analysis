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/>
      <c r="C1" s="1" t="inlineStr">
        <is>
          <t>High</t>
        </is>
      </c>
      <c r="D1" s="1" t="inlineStr">
        <is>
          <t>Low</t>
        </is>
      </c>
      <c r="E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  <c r="E2" t="inlineStr"/>
    </row>
    <row r="3">
      <c r="A3" t="inlineStr">
        <is>
          <t xml:space="preserve">  0.0</t>
        </is>
      </c>
      <c r="B3" t="n">
        <v>0</v>
      </c>
      <c r="C3" t="n">
        <v>79</v>
      </c>
      <c r="D3" t="n">
        <v>110</v>
      </c>
      <c r="E3" t="inlineStr">
        <is>
          <t>0.010</t>
        </is>
      </c>
    </row>
    <row r="4">
      <c r="A4" t="inlineStr">
        <is>
          <t xml:space="preserve">  1.0</t>
        </is>
      </c>
      <c r="B4" t="n">
        <v>1</v>
      </c>
      <c r="C4" t="n">
        <v>165</v>
      </c>
      <c r="D4" t="n">
        <v>133</v>
      </c>
      <c r="E4" t="inlineStr"/>
    </row>
    <row r="5">
      <c r="A5" t="inlineStr">
        <is>
          <t>gender</t>
        </is>
      </c>
      <c r="B5" t="inlineStr"/>
      <c r="C5" t="inlineStr"/>
      <c r="D5" t="inlineStr"/>
      <c r="E5" t="inlineStr"/>
    </row>
    <row r="6">
      <c r="A6" t="inlineStr">
        <is>
          <t xml:space="preserve">  FEMALE</t>
        </is>
      </c>
      <c r="B6" t="n">
        <v>0</v>
      </c>
      <c r="C6" t="n">
        <v>55</v>
      </c>
      <c r="D6" t="n">
        <v>71</v>
      </c>
      <c r="E6" t="inlineStr">
        <is>
          <t>0.204</t>
        </is>
      </c>
    </row>
    <row r="7">
      <c r="A7" t="inlineStr">
        <is>
          <t xml:space="preserve">  MALE</t>
        </is>
      </c>
      <c r="B7" t="n">
        <v>1</v>
      </c>
      <c r="C7" t="n">
        <v>189</v>
      </c>
      <c r="D7" t="n">
        <v>172</v>
      </c>
      <c r="E7" t="inlineStr"/>
    </row>
    <row r="8">
      <c r="A8" t="inlineStr">
        <is>
          <t>pathologic_stage</t>
        </is>
      </c>
      <c r="B8" t="inlineStr"/>
      <c r="C8" t="inlineStr"/>
      <c r="D8" t="inlineStr"/>
      <c r="E8" t="inlineStr"/>
    </row>
    <row r="9">
      <c r="A9" t="inlineStr">
        <is>
          <t xml:space="preserve">  1.0</t>
        </is>
      </c>
      <c r="B9" t="n">
        <v>0</v>
      </c>
      <c r="C9" t="n">
        <v>116</v>
      </c>
      <c r="D9" t="n">
        <v>122</v>
      </c>
      <c r="E9" t="inlineStr">
        <is>
          <t>0.391</t>
        </is>
      </c>
    </row>
    <row r="10">
      <c r="A10" t="inlineStr">
        <is>
          <t xml:space="preserve">  2.0</t>
        </is>
      </c>
      <c r="B10" t="n">
        <v>1</v>
      </c>
      <c r="C10" t="n">
        <v>86</v>
      </c>
      <c r="D10" t="n">
        <v>69</v>
      </c>
      <c r="E10" t="inlineStr"/>
    </row>
    <row r="11">
      <c r="A11" t="inlineStr">
        <is>
          <t xml:space="preserve">  3.0</t>
        </is>
      </c>
      <c r="B11" t="n">
        <v>0</v>
      </c>
      <c r="C11" t="n">
        <v>35</v>
      </c>
      <c r="D11" t="n">
        <v>48</v>
      </c>
      <c r="E11" t="inlineStr"/>
    </row>
    <row r="12">
      <c r="A12" t="inlineStr">
        <is>
          <t xml:space="preserve">  4.0</t>
        </is>
      </c>
      <c r="B12" t="n">
        <v>0</v>
      </c>
      <c r="C12" t="n">
        <v>4</v>
      </c>
      <c r="D12" t="n">
        <v>3</v>
      </c>
      <c r="E12" t="inlineStr"/>
    </row>
    <row r="13">
      <c r="A13" t="inlineStr">
        <is>
          <t>pathologic_M</t>
        </is>
      </c>
      <c r="B13" t="inlineStr"/>
      <c r="C13" t="inlineStr"/>
      <c r="D13" t="inlineStr"/>
      <c r="E13" t="inlineStr"/>
    </row>
    <row r="14">
      <c r="A14" t="inlineStr">
        <is>
          <t xml:space="preserve">  0.0</t>
        </is>
      </c>
      <c r="B14" t="n">
        <v>1</v>
      </c>
      <c r="C14" t="n">
        <v>199</v>
      </c>
      <c r="D14" t="n">
        <v>201</v>
      </c>
      <c r="E14" t="inlineStr">
        <is>
          <t>0.919</t>
        </is>
      </c>
    </row>
    <row r="15">
      <c r="A15" t="inlineStr">
        <is>
          <t xml:space="preserve">  1.0</t>
        </is>
      </c>
      <c r="B15" t="n">
        <v>0</v>
      </c>
      <c r="C15" t="n">
        <v>4</v>
      </c>
      <c r="D15" t="n">
        <v>3</v>
      </c>
      <c r="E15" t="inlineStr"/>
    </row>
    <row r="16">
      <c r="A16" t="inlineStr">
        <is>
          <t>pathologic_N</t>
        </is>
      </c>
      <c r="B16" t="inlineStr"/>
      <c r="C16" t="inlineStr"/>
      <c r="D16" t="inlineStr"/>
      <c r="E16" t="inlineStr"/>
    </row>
    <row r="17">
      <c r="A17" t="inlineStr">
        <is>
          <t xml:space="preserve">  0.0</t>
        </is>
      </c>
      <c r="B17" t="n">
        <v>1</v>
      </c>
      <c r="C17" t="n">
        <v>157</v>
      </c>
      <c r="D17" t="n">
        <v>153</v>
      </c>
      <c r="E17" t="inlineStr">
        <is>
          <t>0.829</t>
        </is>
      </c>
    </row>
    <row r="18">
      <c r="A18" t="inlineStr">
        <is>
          <t xml:space="preserve">  1.0</t>
        </is>
      </c>
      <c r="B18" t="n">
        <v>0</v>
      </c>
      <c r="C18" t="n">
        <v>64</v>
      </c>
      <c r="D18" t="n">
        <v>62</v>
      </c>
      <c r="E18" t="inlineStr"/>
    </row>
    <row r="19">
      <c r="A19" t="inlineStr">
        <is>
          <t xml:space="preserve">  2.0</t>
        </is>
      </c>
      <c r="B19" t="n">
        <v>0</v>
      </c>
      <c r="C19" t="n">
        <v>18</v>
      </c>
      <c r="D19" t="n">
        <v>22</v>
      </c>
      <c r="E19" t="inlineStr"/>
    </row>
    <row r="20">
      <c r="A20" t="inlineStr">
        <is>
          <t xml:space="preserve">  3.0</t>
        </is>
      </c>
      <c r="B20" t="n">
        <v>0</v>
      </c>
      <c r="C20" t="n">
        <v>1</v>
      </c>
      <c r="D20" t="n">
        <v>4</v>
      </c>
      <c r="E20" t="inlineStr"/>
    </row>
    <row r="21">
      <c r="A21" t="inlineStr">
        <is>
          <t>pathologic_T</t>
        </is>
      </c>
      <c r="B21" t="inlineStr"/>
      <c r="C21" t="inlineStr"/>
      <c r="D21" t="inlineStr"/>
      <c r="E21" t="inlineStr"/>
    </row>
    <row r="22">
      <c r="A22" t="inlineStr">
        <is>
          <t xml:space="preserve">  1.0</t>
        </is>
      </c>
      <c r="B22" t="n">
        <v>0</v>
      </c>
      <c r="C22" t="n">
        <v>51</v>
      </c>
      <c r="D22" t="n">
        <v>58</v>
      </c>
      <c r="E22" t="inlineStr">
        <is>
          <t>0.187</t>
        </is>
      </c>
    </row>
    <row r="23">
      <c r="A23" t="inlineStr">
        <is>
          <t xml:space="preserve">  2.0</t>
        </is>
      </c>
      <c r="B23" t="n">
        <v>0</v>
      </c>
      <c r="C23" t="n">
        <v>152</v>
      </c>
      <c r="D23" t="n">
        <v>134</v>
      </c>
      <c r="E23" t="inlineStr"/>
    </row>
    <row r="24">
      <c r="A24" t="inlineStr">
        <is>
          <t xml:space="preserve">  3.0</t>
        </is>
      </c>
      <c r="B24" t="n">
        <v>1</v>
      </c>
      <c r="C24" t="n">
        <v>30</v>
      </c>
      <c r="D24" t="n">
        <v>39</v>
      </c>
      <c r="E24" t="inlineStr"/>
    </row>
    <row r="25">
      <c r="A25" t="inlineStr">
        <is>
          <t xml:space="preserve">  4.0</t>
        </is>
      </c>
      <c r="B25" t="n">
        <v>0</v>
      </c>
      <c r="C25" t="n">
        <v>11</v>
      </c>
      <c r="D25" t="n">
        <v>12</v>
      </c>
      <c r="E25" t="inlineStr"/>
    </row>
    <row r="26">
      <c r="A26" t="inlineStr">
        <is>
          <t>SmokingStatus</t>
        </is>
      </c>
      <c r="B26" t="inlineStr"/>
      <c r="C26" t="inlineStr"/>
      <c r="D26" t="inlineStr"/>
      <c r="E26" t="inlineStr"/>
    </row>
    <row r="27">
      <c r="A27" t="inlineStr">
        <is>
          <t xml:space="preserve">  0.0</t>
        </is>
      </c>
      <c r="B27" t="n">
        <v>0</v>
      </c>
      <c r="C27" t="n">
        <v>41</v>
      </c>
      <c r="D27" t="n">
        <v>35</v>
      </c>
      <c r="E27" t="inlineStr">
        <is>
          <t>0.689</t>
        </is>
      </c>
    </row>
    <row r="28">
      <c r="A28" t="inlineStr">
        <is>
          <t xml:space="preserve">  1.0</t>
        </is>
      </c>
      <c r="B28" t="n">
        <v>1</v>
      </c>
      <c r="C28" t="n">
        <v>203</v>
      </c>
      <c r="D28" t="n">
        <v>209</v>
      </c>
      <c r="E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FAT1expression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FAT1expression</t>
        </is>
      </c>
      <c r="B2" t="inlineStr">
        <is>
          <t>R</t>
        </is>
      </c>
      <c r="C2" t="inlineStr">
        <is>
          <t>1</t>
        </is>
      </c>
      <c r="D2" t="inlineStr">
        <is>
          <t>0.011</t>
        </is>
      </c>
      <c r="E2" t="inlineStr">
        <is>
          <t>0.053</t>
        </is>
      </c>
      <c r="F2" t="inlineStr">
        <is>
          <t>-0.002</t>
        </is>
      </c>
      <c r="G2" t="inlineStr">
        <is>
          <t>-0.038</t>
        </is>
      </c>
      <c r="H2" t="inlineStr">
        <is>
          <t>-0.185</t>
        </is>
      </c>
      <c r="I2" t="inlineStr">
        <is>
          <t>0.030</t>
        </is>
      </c>
      <c r="J2" t="inlineStr">
        <is>
          <t>0.190</t>
        </is>
      </c>
    </row>
    <row r="3">
      <c r="A3" t="inlineStr"/>
      <c r="B3" t="inlineStr">
        <is>
          <t>P-value</t>
        </is>
      </c>
      <c r="C3" t="inlineStr"/>
      <c r="D3" t="inlineStr">
        <is>
          <t>0.816</t>
        </is>
      </c>
      <c r="E3" t="inlineStr">
        <is>
          <t>0.242</t>
        </is>
      </c>
      <c r="F3" t="inlineStr">
        <is>
          <t>0.964</t>
        </is>
      </c>
      <c r="G3" t="inlineStr">
        <is>
          <t>0.399</t>
        </is>
      </c>
      <c r="H3" t="inlineStr">
        <is>
          <t>&lt;0.001</t>
        </is>
      </c>
      <c r="I3" t="inlineStr">
        <is>
          <t>0.509</t>
        </is>
      </c>
      <c r="J3" t="inlineStr">
        <is>
          <t>&lt;0.001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0.011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0.816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0.053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0.242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-0.002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0.964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-0.038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0.399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-0.185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&lt;0.001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0.030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0.509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0.190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&lt;0.001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</t>
        </is>
      </c>
      <c r="B2" t="n">
        <v>1.021</v>
      </c>
      <c r="C2" t="n">
        <v>1.002</v>
      </c>
      <c r="D2" t="n">
        <v>1.04</v>
      </c>
      <c r="E2" t="inlineStr">
        <is>
          <t>0.027</t>
        </is>
      </c>
    </row>
    <row r="3">
      <c r="A3" t="inlineStr">
        <is>
          <t>number_pack_years_smoked</t>
        </is>
      </c>
      <c r="B3" t="n">
        <v>1</v>
      </c>
      <c r="C3" t="n">
        <v>0.995</v>
      </c>
      <c r="D3" t="n">
        <v>1.005</v>
      </c>
      <c r="E3" t="inlineStr">
        <is>
          <t>0.975</t>
        </is>
      </c>
    </row>
    <row r="4">
      <c r="A4" t="inlineStr">
        <is>
          <t>pathologic_stage</t>
        </is>
      </c>
      <c r="B4" t="n">
        <v>1.201</v>
      </c>
      <c r="C4" t="n">
        <v>1.002</v>
      </c>
      <c r="D4" t="n">
        <v>1.439</v>
      </c>
      <c r="E4" t="inlineStr">
        <is>
          <t>0.048</t>
        </is>
      </c>
    </row>
    <row r="5">
      <c r="A5" t="inlineStr">
        <is>
          <t>FAT1group_Low</t>
        </is>
      </c>
      <c r="B5" t="n">
        <v>0.735</v>
      </c>
      <c r="C5" t="n">
        <v>0.547</v>
      </c>
      <c r="D5" t="n">
        <v>0.987</v>
      </c>
      <c r="E5" t="inlineStr">
        <is>
          <t>0.041</t>
        </is>
      </c>
    </row>
    <row r="6">
      <c r="A6" t="inlineStr">
        <is>
          <t>gender_MALE</t>
        </is>
      </c>
      <c r="B6" t="n">
        <v>1.231</v>
      </c>
      <c r="C6" t="n">
        <v>0.871</v>
      </c>
      <c r="D6" t="n">
        <v>1.741</v>
      </c>
      <c r="E6" t="inlineStr">
        <is>
          <t>0.239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FAT1expression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FAT1expression ~ age + number_pack_years_smoked + C(gender)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0.0035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6.9624e-01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2567.2399</v>
      </c>
      <c r="C8" t="n">
        <v>-816.0096</v>
      </c>
      <c r="D8" t="n">
        <v>5950.4894</v>
      </c>
      <c r="E8" t="inlineStr">
        <is>
          <t>0.137</t>
        </is>
      </c>
    </row>
    <row r="9">
      <c r="A9" t="inlineStr">
        <is>
          <t>C(gender)[T.MALE]</t>
        </is>
      </c>
      <c r="B9" t="n">
        <v>139.162</v>
      </c>
      <c r="C9" t="n">
        <v>-777.7317</v>
      </c>
      <c r="D9" t="n">
        <v>1056.0557</v>
      </c>
      <c r="E9" t="inlineStr">
        <is>
          <t>0.766</t>
        </is>
      </c>
    </row>
    <row r="10">
      <c r="A10" t="inlineStr">
        <is>
          <t>age</t>
        </is>
      </c>
      <c r="B10" t="n">
        <v>28.2069</v>
      </c>
      <c r="C10" t="n">
        <v>-20.2</v>
      </c>
      <c r="D10" t="n">
        <v>76.6139</v>
      </c>
      <c r="E10" t="inlineStr">
        <is>
          <t>0.253</t>
        </is>
      </c>
    </row>
    <row r="11">
      <c r="A11" t="inlineStr">
        <is>
          <t>number_pack_years_smoked</t>
        </is>
      </c>
      <c r="B11" t="n">
        <v>0.9254</v>
      </c>
      <c r="C11" t="n">
        <v>-11.9866</v>
      </c>
      <c r="D11" t="n">
        <v>13.8375</v>
      </c>
      <c r="E11" t="inlineStr">
        <is>
          <t>0.888</t>
        </is>
      </c>
    </row>
    <row r="12">
      <c r="A12" t="inlineStr"/>
      <c r="B12" t="inlineStr"/>
      <c r="C12" t="inlineStr"/>
      <c r="D12" t="inlineStr"/>
      <c r="E12" t="inlineStr"/>
    </row>
    <row r="13">
      <c r="A13">
        <f>== [ Model: Base + Pathologic Stage ] ===</f>
        <v/>
      </c>
      <c r="B13" t="inlineStr"/>
      <c r="C13" t="inlineStr"/>
      <c r="D13" t="inlineStr"/>
      <c r="E13" t="inlineStr"/>
    </row>
    <row r="14">
      <c r="A14" t="inlineStr">
        <is>
          <t>Dependent Variable (Y)</t>
        </is>
      </c>
      <c r="B14" t="inlineStr">
        <is>
          <t>FAT1expression</t>
        </is>
      </c>
      <c r="C14" t="inlineStr"/>
      <c r="D14" t="inlineStr"/>
      <c r="E14" t="inlineStr"/>
    </row>
    <row r="15">
      <c r="A15" t="inlineStr">
        <is>
          <t>Model Formula</t>
        </is>
      </c>
      <c r="B15" t="inlineStr">
        <is>
          <t>FAT1expression ~ age + number_pack_years_smoked + C(gender) + C(pathologic_stage)</t>
        </is>
      </c>
      <c r="C15" t="inlineStr"/>
      <c r="D15" t="inlineStr"/>
      <c r="E15" t="inlineStr"/>
    </row>
    <row r="16">
      <c r="A16" t="inlineStr">
        <is>
          <t>R-squared</t>
        </is>
      </c>
      <c r="B16" t="inlineStr">
        <is>
          <t>0.0181</t>
        </is>
      </c>
      <c r="C16" t="inlineStr"/>
      <c r="D16" t="inlineStr"/>
      <c r="E16" t="inlineStr"/>
    </row>
    <row r="17">
      <c r="A17" t="inlineStr">
        <is>
          <t>Prob (F-statistic)</t>
        </is>
      </c>
      <c r="B17" t="inlineStr">
        <is>
          <t>2.8871e-01</t>
        </is>
      </c>
      <c r="C17" t="inlineStr"/>
      <c r="D17" t="inlineStr"/>
      <c r="E17" t="inlineStr"/>
    </row>
    <row r="18">
      <c r="A18" t="inlineStr">
        <is>
          <t>--- [ Coefficients ] ---</t>
        </is>
      </c>
      <c r="B18" t="inlineStr"/>
      <c r="C18" t="inlineStr"/>
      <c r="D18" t="inlineStr"/>
      <c r="E18" t="inlineStr"/>
    </row>
    <row r="19">
      <c r="A19" t="inlineStr">
        <is>
          <t>Intercept</t>
        </is>
      </c>
      <c r="B19" t="n">
        <v>2588.9245</v>
      </c>
      <c r="C19" t="n">
        <v>-884.619</v>
      </c>
      <c r="D19" t="n">
        <v>6062.468</v>
      </c>
      <c r="E19" t="inlineStr">
        <is>
          <t>0.144</t>
        </is>
      </c>
    </row>
    <row r="20">
      <c r="A20" t="inlineStr">
        <is>
          <t>C(gender)[T.MALE]</t>
        </is>
      </c>
      <c r="B20" t="n">
        <v>72.7373</v>
      </c>
      <c r="C20" t="n">
        <v>-849.0967000000001</v>
      </c>
      <c r="D20" t="n">
        <v>994.5713</v>
      </c>
      <c r="E20" t="inlineStr">
        <is>
          <t>0.877</t>
        </is>
      </c>
    </row>
    <row r="21">
      <c r="A21" t="inlineStr">
        <is>
          <t>C(pathologic_stage)[T.2.0]</t>
        </is>
      </c>
      <c r="B21" t="n">
        <v>614.3365</v>
      </c>
      <c r="C21" t="n">
        <v>-301.0698</v>
      </c>
      <c r="D21" t="n">
        <v>1529.7428</v>
      </c>
      <c r="E21" t="inlineStr">
        <is>
          <t>0.188</t>
        </is>
      </c>
    </row>
    <row r="22">
      <c r="A22" t="inlineStr">
        <is>
          <t>C(pathologic_stage)[T.3.0]</t>
        </is>
      </c>
      <c r="B22" t="n">
        <v>-562.1844</v>
      </c>
      <c r="C22" t="n">
        <v>-1702.6774</v>
      </c>
      <c r="D22" t="n">
        <v>578.3086</v>
      </c>
      <c r="E22" t="inlineStr">
        <is>
          <t>0.333</t>
        </is>
      </c>
    </row>
    <row r="23">
      <c r="A23" t="inlineStr">
        <is>
          <t>C(pathologic_stage)[T.4.0]</t>
        </is>
      </c>
      <c r="B23" t="n">
        <v>2564.0666</v>
      </c>
      <c r="C23" t="n">
        <v>-812.3525</v>
      </c>
      <c r="D23" t="n">
        <v>5940.4856</v>
      </c>
      <c r="E23" t="inlineStr">
        <is>
          <t>0.136</t>
        </is>
      </c>
    </row>
    <row r="24">
      <c r="A24" t="inlineStr">
        <is>
          <t>age</t>
        </is>
      </c>
      <c r="B24" t="n">
        <v>26.3274</v>
      </c>
      <c r="C24" t="n">
        <v>-22.5987</v>
      </c>
      <c r="D24" t="n">
        <v>75.2535</v>
      </c>
      <c r="E24" t="inlineStr">
        <is>
          <t>0.291</t>
        </is>
      </c>
    </row>
    <row r="25">
      <c r="A25" t="inlineStr">
        <is>
          <t>number_pack_years_smoked</t>
        </is>
      </c>
      <c r="B25" t="n">
        <v>1.2873</v>
      </c>
      <c r="C25" t="n">
        <v>-11.6663</v>
      </c>
      <c r="D25" t="n">
        <v>14.2408</v>
      </c>
      <c r="E25" t="inlineStr">
        <is>
          <t>0.845</t>
        </is>
      </c>
    </row>
    <row r="26">
      <c r="A26" t="inlineStr"/>
      <c r="B26" t="inlineStr"/>
      <c r="C26" t="inlineStr"/>
      <c r="D26" t="inlineStr"/>
      <c r="E26" t="inlineStr"/>
    </row>
    <row r="27">
      <c r="A27">
        <f>== [ Model: Base + Pathologic T ] ===</f>
        <v/>
      </c>
      <c r="B27" t="inlineStr"/>
      <c r="C27" t="inlineStr"/>
      <c r="D27" t="inlineStr"/>
      <c r="E27" t="inlineStr"/>
    </row>
    <row r="28">
      <c r="A28" t="inlineStr">
        <is>
          <t>Dependent Variable (Y)</t>
        </is>
      </c>
      <c r="B28" t="inlineStr">
        <is>
          <t>FAT1expression</t>
        </is>
      </c>
      <c r="C28" t="inlineStr"/>
      <c r="D28" t="inlineStr"/>
      <c r="E28" t="inlineStr"/>
    </row>
    <row r="29">
      <c r="A29" t="inlineStr">
        <is>
          <t>Model Formula</t>
        </is>
      </c>
      <c r="B29" t="inlineStr">
        <is>
          <t>FAT1expression ~ age + number_pack_years_smoked + C(gender) + C(pathologic_T)</t>
        </is>
      </c>
      <c r="C29" t="inlineStr"/>
      <c r="D29" t="inlineStr"/>
      <c r="E29" t="inlineStr"/>
    </row>
    <row r="30">
      <c r="A30" t="inlineStr">
        <is>
          <t>R-squared</t>
        </is>
      </c>
      <c r="B30" t="inlineStr">
        <is>
          <t>0.0071</t>
        </is>
      </c>
      <c r="C30" t="inlineStr"/>
      <c r="D30" t="inlineStr"/>
      <c r="E30" t="inlineStr"/>
    </row>
    <row r="31">
      <c r="A31" t="inlineStr">
        <is>
          <t>Prob (F-statistic)</t>
        </is>
      </c>
      <c r="B31" t="inlineStr">
        <is>
          <t>8.2118e-01</t>
        </is>
      </c>
      <c r="C31" t="inlineStr"/>
      <c r="D31" t="inlineStr"/>
      <c r="E31" t="inlineStr"/>
    </row>
    <row r="32">
      <c r="A32" t="inlineStr">
        <is>
          <t>--- [ Coefficients ] ---</t>
        </is>
      </c>
      <c r="B32" t="inlineStr"/>
      <c r="C32" t="inlineStr"/>
      <c r="D32" t="inlineStr"/>
      <c r="E32" t="inlineStr"/>
    </row>
    <row r="33">
      <c r="A33" t="inlineStr">
        <is>
          <t>Intercept</t>
        </is>
      </c>
      <c r="B33" t="n">
        <v>2951.5437</v>
      </c>
      <c r="C33" t="n">
        <v>-503.003</v>
      </c>
      <c r="D33" t="n">
        <v>6406.0904</v>
      </c>
      <c r="E33" t="inlineStr">
        <is>
          <t>0.094</t>
        </is>
      </c>
    </row>
    <row r="34">
      <c r="A34" t="inlineStr">
        <is>
          <t>C(gender)[T.MALE]</t>
        </is>
      </c>
      <c r="B34" t="n">
        <v>173.4211</v>
      </c>
      <c r="C34" t="n">
        <v>-757.5424</v>
      </c>
      <c r="D34" t="n">
        <v>1104.3846</v>
      </c>
      <c r="E34" t="inlineStr">
        <is>
          <t>0.714</t>
        </is>
      </c>
    </row>
    <row r="35">
      <c r="A35" t="inlineStr">
        <is>
          <t>C(pathologic_T)[T.2.0]</t>
        </is>
      </c>
      <c r="B35" t="n">
        <v>-384.7719</v>
      </c>
      <c r="C35" t="n">
        <v>-1380.9682</v>
      </c>
      <c r="D35" t="n">
        <v>611.4244</v>
      </c>
      <c r="E35" t="inlineStr">
        <is>
          <t>0.448</t>
        </is>
      </c>
    </row>
    <row r="36">
      <c r="A36" t="inlineStr">
        <is>
          <t>C(pathologic_T)[T.3.0]</t>
        </is>
      </c>
      <c r="B36" t="n">
        <v>-852.4938</v>
      </c>
      <c r="C36" t="n">
        <v>-2260.3518</v>
      </c>
      <c r="D36" t="n">
        <v>555.3643</v>
      </c>
      <c r="E36" t="inlineStr">
        <is>
          <t>0.235</t>
        </is>
      </c>
    </row>
    <row r="37">
      <c r="A37" t="inlineStr">
        <is>
          <t>C(pathologic_T)[T.4.0]</t>
        </is>
      </c>
      <c r="B37" t="n">
        <v>-464.7225</v>
      </c>
      <c r="C37" t="n">
        <v>-2619.4738</v>
      </c>
      <c r="D37" t="n">
        <v>1690.0288</v>
      </c>
      <c r="E37" t="inlineStr">
        <is>
          <t>0.672</t>
        </is>
      </c>
    </row>
    <row r="38">
      <c r="A38" t="inlineStr">
        <is>
          <t>age</t>
        </is>
      </c>
      <c r="B38" t="n">
        <v>27.6948</v>
      </c>
      <c r="C38" t="n">
        <v>-20.9676</v>
      </c>
      <c r="D38" t="n">
        <v>76.3571</v>
      </c>
      <c r="E38" t="inlineStr">
        <is>
          <t>0.264</t>
        </is>
      </c>
    </row>
    <row r="39">
      <c r="A39" t="inlineStr">
        <is>
          <t>number_pack_years_smoked</t>
        </is>
      </c>
      <c r="B39" t="n">
        <v>0.6273</v>
      </c>
      <c r="C39" t="n">
        <v>-12.3343</v>
      </c>
      <c r="D39" t="n">
        <v>13.589</v>
      </c>
      <c r="E39" t="inlineStr">
        <is>
          <t>0.924</t>
        </is>
      </c>
    </row>
    <row r="40">
      <c r="A40" t="inlineStr"/>
      <c r="B40" t="inlineStr"/>
      <c r="C40" t="inlineStr"/>
      <c r="D40" t="inlineStr"/>
      <c r="E40" t="inlineStr"/>
    </row>
    <row r="41">
      <c r="A41">
        <f>== [ Model: Base + Pathologic N ] ===</f>
        <v/>
      </c>
      <c r="B41" t="inlineStr"/>
      <c r="C41" t="inlineStr"/>
      <c r="D41" t="inlineStr"/>
      <c r="E41" t="inlineStr"/>
    </row>
    <row r="42">
      <c r="A42" t="inlineStr">
        <is>
          <t>Dependent Variable (Y)</t>
        </is>
      </c>
      <c r="B42" t="inlineStr">
        <is>
          <t>FAT1expression</t>
        </is>
      </c>
      <c r="C42" t="inlineStr"/>
      <c r="D42" t="inlineStr"/>
      <c r="E42" t="inlineStr"/>
    </row>
    <row r="43">
      <c r="A43" t="inlineStr">
        <is>
          <t>Model Formula</t>
        </is>
      </c>
      <c r="B43" t="inlineStr">
        <is>
          <t>FAT1expression ~ age + number_pack_years_smoked + C(gender) + C(pathologic_N)</t>
        </is>
      </c>
      <c r="C43" t="inlineStr"/>
      <c r="D43" t="inlineStr"/>
      <c r="E43" t="inlineStr"/>
    </row>
    <row r="44">
      <c r="A44" t="inlineStr">
        <is>
          <t>R-squared</t>
        </is>
      </c>
      <c r="B44" t="inlineStr">
        <is>
          <t>0.0094</t>
        </is>
      </c>
      <c r="C44" t="inlineStr"/>
      <c r="D44" t="inlineStr"/>
      <c r="E44" t="inlineStr"/>
    </row>
    <row r="45">
      <c r="A45" t="inlineStr">
        <is>
          <t>Prob (F-statistic)</t>
        </is>
      </c>
      <c r="B45" t="inlineStr">
        <is>
          <t>7.0437e-01</t>
        </is>
      </c>
      <c r="C45" t="inlineStr"/>
      <c r="D45" t="inlineStr"/>
      <c r="E45" t="inlineStr"/>
    </row>
    <row r="46">
      <c r="A46" t="inlineStr">
        <is>
          <t>--- [ Coefficients ] ---</t>
        </is>
      </c>
      <c r="B46" t="inlineStr"/>
      <c r="C46" t="inlineStr"/>
      <c r="D46" t="inlineStr"/>
      <c r="E46" t="inlineStr"/>
    </row>
    <row r="47">
      <c r="A47" t="inlineStr">
        <is>
          <t>Intercept</t>
        </is>
      </c>
      <c r="B47" t="n">
        <v>2569.1414</v>
      </c>
      <c r="C47" t="n">
        <v>-953.1477</v>
      </c>
      <c r="D47" t="n">
        <v>6091.4305</v>
      </c>
      <c r="E47" t="inlineStr">
        <is>
          <t>0.152</t>
        </is>
      </c>
    </row>
    <row r="48">
      <c r="A48" t="inlineStr">
        <is>
          <t>C(gender)[T.MALE]</t>
        </is>
      </c>
      <c r="B48" t="n">
        <v>150.9179</v>
      </c>
      <c r="C48" t="n">
        <v>-774.0045</v>
      </c>
      <c r="D48" t="n">
        <v>1075.8403</v>
      </c>
      <c r="E48" t="inlineStr">
        <is>
          <t>0.749</t>
        </is>
      </c>
    </row>
    <row r="49">
      <c r="A49" t="inlineStr">
        <is>
          <t>C(pathologic_N)[T.1.0]</t>
        </is>
      </c>
      <c r="B49" t="n">
        <v>221.606</v>
      </c>
      <c r="C49" t="n">
        <v>-718.1913</v>
      </c>
      <c r="D49" t="n">
        <v>1161.4033</v>
      </c>
      <c r="E49" t="inlineStr">
        <is>
          <t>0.643</t>
        </is>
      </c>
    </row>
    <row r="50">
      <c r="A50" t="inlineStr">
        <is>
          <t>C(pathologic_N)[T.2.0]</t>
        </is>
      </c>
      <c r="B50" t="n">
        <v>-246.3987</v>
      </c>
      <c r="C50" t="n">
        <v>-1765.8405</v>
      </c>
      <c r="D50" t="n">
        <v>1273.043</v>
      </c>
      <c r="E50" t="inlineStr">
        <is>
          <t>0.750</t>
        </is>
      </c>
    </row>
    <row r="51">
      <c r="A51" t="inlineStr">
        <is>
          <t>C(pathologic_N)[T.3.0]</t>
        </is>
      </c>
      <c r="B51" t="n">
        <v>-2618.6068</v>
      </c>
      <c r="C51" t="n">
        <v>-6307.8723</v>
      </c>
      <c r="D51" t="n">
        <v>1070.6586</v>
      </c>
      <c r="E51" t="inlineStr">
        <is>
          <t>0.164</t>
        </is>
      </c>
    </row>
    <row r="52">
      <c r="A52" t="inlineStr">
        <is>
          <t>age</t>
        </is>
      </c>
      <c r="B52" t="n">
        <v>28.3491</v>
      </c>
      <c r="C52" t="n">
        <v>-21.4907</v>
      </c>
      <c r="D52" t="n">
        <v>78.1889</v>
      </c>
      <c r="E52" t="inlineStr">
        <is>
          <t>0.264</t>
        </is>
      </c>
    </row>
    <row r="53">
      <c r="A53" t="inlineStr">
        <is>
          <t>number_pack_years_smoked</t>
        </is>
      </c>
      <c r="B53" t="n">
        <v>0.4045</v>
      </c>
      <c r="C53" t="n">
        <v>-12.6281</v>
      </c>
      <c r="D53" t="n">
        <v>13.437</v>
      </c>
      <c r="E53" t="inlineStr">
        <is>
          <t>0.951</t>
        </is>
      </c>
    </row>
    <row r="54">
      <c r="A54" t="inlineStr"/>
      <c r="B54" t="inlineStr"/>
      <c r="C54" t="inlineStr"/>
      <c r="D54" t="inlineStr"/>
      <c r="E54" t="inlineStr"/>
    </row>
    <row r="55">
      <c r="A55">
        <f>== [ Model: Base + Pathologic M ] ===</f>
        <v/>
      </c>
      <c r="B55" t="inlineStr"/>
      <c r="C55" t="inlineStr"/>
      <c r="D55" t="inlineStr"/>
      <c r="E55" t="inlineStr"/>
    </row>
    <row r="56">
      <c r="A56" t="inlineStr">
        <is>
          <t>Dependent Variable (Y)</t>
        </is>
      </c>
      <c r="B56" t="inlineStr">
        <is>
          <t>FAT1expression</t>
        </is>
      </c>
      <c r="C56" t="inlineStr"/>
      <c r="D56" t="inlineStr"/>
      <c r="E56" t="inlineStr"/>
    </row>
    <row r="57">
      <c r="A57" t="inlineStr">
        <is>
          <t>Model Formula</t>
        </is>
      </c>
      <c r="B57" t="inlineStr">
        <is>
          <t>FAT1expression ~ age + number_pack_years_smoked + C(gender) + C(pathologic_M)</t>
        </is>
      </c>
      <c r="C57" t="inlineStr"/>
      <c r="D57" t="inlineStr"/>
      <c r="E57" t="inlineStr"/>
    </row>
    <row r="58">
      <c r="A58" t="inlineStr">
        <is>
          <t>R-squared</t>
        </is>
      </c>
      <c r="B58" t="inlineStr">
        <is>
          <t>0.0089</t>
        </is>
      </c>
      <c r="C58" t="inlineStr"/>
      <c r="D58" t="inlineStr"/>
      <c r="E58" t="inlineStr"/>
    </row>
    <row r="59">
      <c r="A59" t="inlineStr">
        <is>
          <t>Prob (F-statistic)</t>
        </is>
      </c>
      <c r="B59" t="inlineStr">
        <is>
          <t>5.4751e-01</t>
        </is>
      </c>
      <c r="C59" t="inlineStr"/>
      <c r="D59" t="inlineStr"/>
      <c r="E59" t="inlineStr"/>
    </row>
    <row r="60">
      <c r="A60" t="inlineStr">
        <is>
          <t>--- [ Coefficients ] ---</t>
        </is>
      </c>
      <c r="B60" t="inlineStr"/>
      <c r="C60" t="inlineStr"/>
      <c r="D60" t="inlineStr"/>
      <c r="E60" t="inlineStr"/>
    </row>
    <row r="61">
      <c r="A61" t="inlineStr">
        <is>
          <t>Intercept</t>
        </is>
      </c>
      <c r="B61" t="n">
        <v>2668.6045</v>
      </c>
      <c r="C61" t="n">
        <v>-1274.244</v>
      </c>
      <c r="D61" t="n">
        <v>6611.453</v>
      </c>
      <c r="E61" t="inlineStr">
        <is>
          <t>0.184</t>
        </is>
      </c>
    </row>
    <row r="62">
      <c r="A62" t="inlineStr">
        <is>
          <t>C(gender)[T.MALE]</t>
        </is>
      </c>
      <c r="B62" t="n">
        <v>127.4343</v>
      </c>
      <c r="C62" t="n">
        <v>-919.4857</v>
      </c>
      <c r="D62" t="n">
        <v>1174.3544</v>
      </c>
      <c r="E62" t="inlineStr">
        <is>
          <t>0.811</t>
        </is>
      </c>
    </row>
    <row r="63">
      <c r="A63" t="inlineStr">
        <is>
          <t>C(pathologic_M)[T.1.0]</t>
        </is>
      </c>
      <c r="B63" t="n">
        <v>2500.7483</v>
      </c>
      <c r="C63" t="n">
        <v>-974.0025000000001</v>
      </c>
      <c r="D63" t="n">
        <v>5975.4992</v>
      </c>
      <c r="E63" t="inlineStr">
        <is>
          <t>0.158</t>
        </is>
      </c>
    </row>
    <row r="64">
      <c r="A64" t="inlineStr">
        <is>
          <t>age</t>
        </is>
      </c>
      <c r="B64" t="n">
        <v>24.7838</v>
      </c>
      <c r="C64" t="n">
        <v>-31.2446</v>
      </c>
      <c r="D64" t="n">
        <v>80.81229999999999</v>
      </c>
      <c r="E64" t="inlineStr">
        <is>
          <t>0.385</t>
        </is>
      </c>
    </row>
    <row r="65">
      <c r="A65" t="inlineStr">
        <is>
          <t>number_pack_years_smoked</t>
        </is>
      </c>
      <c r="B65" t="n">
        <v>2.1383</v>
      </c>
      <c r="C65" t="n">
        <v>-12.5999</v>
      </c>
      <c r="D65" t="n">
        <v>16.8765</v>
      </c>
      <c r="E65" t="inlineStr">
        <is>
          <t>0.776</t>
        </is>
      </c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FAT1</t>
        </is>
      </c>
      <c r="D2" t="inlineStr">
        <is>
          <t>3.659</t>
        </is>
      </c>
      <c r="E2" t="inlineStr">
        <is>
          <t>0.056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FAT1</t>
        </is>
      </c>
      <c r="D3" t="inlineStr">
        <is>
          <t>3.152</t>
        </is>
      </c>
      <c r="E3" t="inlineStr">
        <is>
          <t>0.076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2026-06-30T07:54:32Z</dcterms:created>
  <dcterms:modified xsi:type="dcterms:W3CDTF">2026-06-30T07:54:32Z</dcterms:modified>
</cp:coreProperties>
</file>
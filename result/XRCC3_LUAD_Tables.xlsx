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126</v>
      </c>
      <c r="C3" t="n">
        <v>110</v>
      </c>
      <c r="D3" t="inlineStr">
        <is>
          <t>0.125</t>
        </is>
      </c>
    </row>
    <row r="4">
      <c r="A4" t="inlineStr">
        <is>
          <t xml:space="preserve">  1.0</t>
        </is>
      </c>
      <c r="B4" t="n">
        <v>118</v>
      </c>
      <c r="C4" t="n">
        <v>136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121</v>
      </c>
      <c r="C6" t="n">
        <v>145</v>
      </c>
      <c r="D6" t="inlineStr">
        <is>
          <t>0.038</t>
        </is>
      </c>
    </row>
    <row r="7">
      <c r="A7" t="inlineStr">
        <is>
          <t xml:space="preserve">  MALE</t>
        </is>
      </c>
      <c r="B7" t="n">
        <v>123</v>
      </c>
      <c r="C7" t="n">
        <v>101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131</v>
      </c>
      <c r="C9" t="n">
        <v>131</v>
      </c>
      <c r="D9" t="inlineStr">
        <is>
          <t>0.089</t>
        </is>
      </c>
    </row>
    <row r="10">
      <c r="A10" t="inlineStr">
        <is>
          <t xml:space="preserve">  2.0</t>
        </is>
      </c>
      <c r="B10" t="n">
        <v>55</v>
      </c>
      <c r="C10" t="n">
        <v>62</v>
      </c>
      <c r="D10" t="inlineStr"/>
    </row>
    <row r="11">
      <c r="A11" t="inlineStr">
        <is>
          <t xml:space="preserve">  3.0</t>
        </is>
      </c>
      <c r="B11" t="n">
        <v>38</v>
      </c>
      <c r="C11" t="n">
        <v>41</v>
      </c>
      <c r="D11" t="inlineStr"/>
    </row>
    <row r="12">
      <c r="A12" t="inlineStr">
        <is>
          <t xml:space="preserve">  4.0</t>
        </is>
      </c>
      <c r="B12" t="n">
        <v>18</v>
      </c>
      <c r="C12" t="n">
        <v>6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159</v>
      </c>
      <c r="C14" t="n">
        <v>163</v>
      </c>
      <c r="D14" t="inlineStr">
        <is>
          <t>0.015</t>
        </is>
      </c>
    </row>
    <row r="15">
      <c r="A15" t="inlineStr">
        <is>
          <t xml:space="preserve">  1.0</t>
        </is>
      </c>
      <c r="B15" t="n">
        <v>18</v>
      </c>
      <c r="C15" t="n">
        <v>6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164</v>
      </c>
      <c r="C17" t="n">
        <v>152</v>
      </c>
      <c r="D17" t="inlineStr">
        <is>
          <t>0.282</t>
        </is>
      </c>
    </row>
    <row r="18">
      <c r="A18" t="inlineStr">
        <is>
          <t xml:space="preserve">  1.0</t>
        </is>
      </c>
      <c r="B18" t="n">
        <v>41</v>
      </c>
      <c r="C18" t="n">
        <v>52</v>
      </c>
      <c r="D18" t="inlineStr"/>
    </row>
    <row r="19">
      <c r="A19" t="inlineStr">
        <is>
          <t xml:space="preserve">  2.0</t>
        </is>
      </c>
      <c r="B19" t="n">
        <v>33</v>
      </c>
      <c r="C19" t="n">
        <v>35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80</v>
      </c>
      <c r="C22" t="n">
        <v>84</v>
      </c>
      <c r="D22" t="inlineStr">
        <is>
          <t>0.592</t>
        </is>
      </c>
    </row>
    <row r="23">
      <c r="A23" t="inlineStr">
        <is>
          <t xml:space="preserve">  2.0</t>
        </is>
      </c>
      <c r="B23" t="n">
        <v>135</v>
      </c>
      <c r="C23" t="n">
        <v>125</v>
      </c>
      <c r="D23" t="inlineStr"/>
    </row>
    <row r="24">
      <c r="A24" t="inlineStr">
        <is>
          <t xml:space="preserve">  3.0</t>
        </is>
      </c>
      <c r="B24" t="n">
        <v>20</v>
      </c>
      <c r="C24" t="n">
        <v>25</v>
      </c>
      <c r="D24" t="inlineStr"/>
    </row>
    <row r="25">
      <c r="A25" t="inlineStr">
        <is>
          <t xml:space="preserve">  4.0</t>
        </is>
      </c>
      <c r="B25" t="n">
        <v>7</v>
      </c>
      <c r="C25" t="n">
        <v>11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68</v>
      </c>
      <c r="C27" t="n">
        <v>91</v>
      </c>
      <c r="D27" t="inlineStr">
        <is>
          <t>0.027</t>
        </is>
      </c>
    </row>
    <row r="28">
      <c r="A28" t="inlineStr">
        <is>
          <t xml:space="preserve">  1.0</t>
        </is>
      </c>
      <c r="B28" t="n">
        <v>178</v>
      </c>
      <c r="C28" t="n">
        <v>155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EGFR_Mut_Binary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0.149</t>
        </is>
      </c>
      <c r="E2" t="inlineStr">
        <is>
          <t>-0.103</t>
        </is>
      </c>
      <c r="F2" t="inlineStr">
        <is>
          <t>0.066</t>
        </is>
      </c>
      <c r="G2" t="inlineStr">
        <is>
          <t>-0.073</t>
        </is>
      </c>
      <c r="H2" t="inlineStr">
        <is>
          <t>-0.005</t>
        </is>
      </c>
      <c r="I2" t="inlineStr">
        <is>
          <t>0.060</t>
        </is>
      </c>
      <c r="J2" t="inlineStr">
        <is>
          <t>-0.074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0.022</t>
        </is>
      </c>
      <c r="F3" t="inlineStr">
        <is>
          <t>0.144</t>
        </is>
      </c>
      <c r="G3" t="inlineStr">
        <is>
          <t>0.107</t>
        </is>
      </c>
      <c r="H3" t="inlineStr">
        <is>
          <t>0.905</t>
        </is>
      </c>
      <c r="I3" t="inlineStr">
        <is>
          <t>0.185</t>
        </is>
      </c>
      <c r="J3" t="inlineStr">
        <is>
          <t>0.281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0.149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0.042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0.611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-0.103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0.012</t>
        </is>
      </c>
    </row>
    <row r="7">
      <c r="A7" t="inlineStr"/>
      <c r="B7" t="inlineStr">
        <is>
          <t>P-value</t>
        </is>
      </c>
      <c r="C7" t="inlineStr">
        <is>
          <t>0.022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0.865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0.066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-0.102</t>
        </is>
      </c>
    </row>
    <row r="9">
      <c r="A9" t="inlineStr"/>
      <c r="B9" t="inlineStr">
        <is>
          <t>P-value</t>
        </is>
      </c>
      <c r="C9" t="inlineStr">
        <is>
          <t>0.144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0.139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-0.073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0.008</t>
        </is>
      </c>
    </row>
    <row r="11">
      <c r="A11" t="inlineStr"/>
      <c r="B11" t="inlineStr">
        <is>
          <t>P-value</t>
        </is>
      </c>
      <c r="C11" t="inlineStr">
        <is>
          <t>0.107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0.904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-0.005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-0.050</t>
        </is>
      </c>
    </row>
    <row r="13">
      <c r="A13" t="inlineStr"/>
      <c r="B13" t="inlineStr">
        <is>
          <t>P-value</t>
        </is>
      </c>
      <c r="C13" t="inlineStr">
        <is>
          <t>0.905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0.469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0.060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0.107</t>
        </is>
      </c>
    </row>
    <row r="15">
      <c r="A15" t="inlineStr"/>
      <c r="B15" t="inlineStr">
        <is>
          <t>P-value</t>
        </is>
      </c>
      <c r="C15" t="inlineStr">
        <is>
          <t>0.185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0.122</t>
        </is>
      </c>
    </row>
    <row r="16">
      <c r="A16" t="inlineStr">
        <is>
          <t>EGFR_Mut_Binary</t>
        </is>
      </c>
      <c r="B16" t="inlineStr">
        <is>
          <t>R</t>
        </is>
      </c>
      <c r="C16" t="inlineStr">
        <is>
          <t>-0.074</t>
        </is>
      </c>
      <c r="D16" t="inlineStr">
        <is>
          <t>0.042</t>
        </is>
      </c>
      <c r="E16" t="inlineStr">
        <is>
          <t>0.012</t>
        </is>
      </c>
      <c r="F16" t="inlineStr">
        <is>
          <t>-0.102</t>
        </is>
      </c>
      <c r="G16" t="inlineStr">
        <is>
          <t>0.008</t>
        </is>
      </c>
      <c r="H16" t="inlineStr">
        <is>
          <t>-0.050</t>
        </is>
      </c>
      <c r="I16" t="inlineStr">
        <is>
          <t>0.107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0.281</t>
        </is>
      </c>
      <c r="D17" t="inlineStr">
        <is>
          <t>0.611</t>
        </is>
      </c>
      <c r="E17" t="inlineStr">
        <is>
          <t>0.865</t>
        </is>
      </c>
      <c r="F17" t="inlineStr">
        <is>
          <t>0.139</t>
        </is>
      </c>
      <c r="G17" t="inlineStr">
        <is>
          <t>0.904</t>
        </is>
      </c>
      <c r="H17" t="inlineStr">
        <is>
          <t>0.469</t>
        </is>
      </c>
      <c r="I17" t="inlineStr">
        <is>
          <t>0.122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n">
        <v>0.993</v>
      </c>
      <c r="D2" t="n">
        <v>1.033</v>
      </c>
      <c r="E2" t="inlineStr">
        <is>
          <t>0.209</t>
        </is>
      </c>
    </row>
    <row r="3">
      <c r="A3" t="inlineStr">
        <is>
          <t>number_pack_years_smoked</t>
        </is>
      </c>
      <c r="B3" t="n">
        <v>0.999</v>
      </c>
      <c r="C3" t="n">
        <v>0.991</v>
      </c>
      <c r="D3" t="n">
        <v>1.006</v>
      </c>
      <c r="E3" t="inlineStr">
        <is>
          <t>0.739</t>
        </is>
      </c>
    </row>
    <row r="4">
      <c r="A4" t="inlineStr">
        <is>
          <t>KrasExpression</t>
        </is>
      </c>
      <c r="B4" t="n">
        <v>1</v>
      </c>
      <c r="C4" t="n">
        <v>1</v>
      </c>
      <c r="D4" t="n">
        <v>1</v>
      </c>
      <c r="E4" t="inlineStr">
        <is>
          <t>0.065</t>
        </is>
      </c>
    </row>
    <row r="5">
      <c r="A5" t="inlineStr">
        <is>
          <t>TP53Expression</t>
        </is>
      </c>
      <c r="B5" t="n">
        <v>1</v>
      </c>
      <c r="C5" t="n">
        <v>1</v>
      </c>
      <c r="D5" t="n">
        <v>1</v>
      </c>
      <c r="E5" t="inlineStr">
        <is>
          <t>0.916</t>
        </is>
      </c>
    </row>
    <row r="6">
      <c r="A6" t="inlineStr">
        <is>
          <t>ALKExpression</t>
        </is>
      </c>
      <c r="B6" t="n">
        <v>0.993</v>
      </c>
      <c r="C6" t="n">
        <v>0.982</v>
      </c>
      <c r="D6" t="n">
        <v>1.004</v>
      </c>
      <c r="E6" t="inlineStr">
        <is>
          <t>0.198</t>
        </is>
      </c>
    </row>
    <row r="7">
      <c r="A7" t="inlineStr">
        <is>
          <t>BRAFExpression</t>
        </is>
      </c>
      <c r="B7" t="n">
        <v>0.998</v>
      </c>
      <c r="C7" t="n">
        <v>0.996</v>
      </c>
      <c r="D7" t="n">
        <v>1.001</v>
      </c>
      <c r="E7" t="inlineStr">
        <is>
          <t>0.150</t>
        </is>
      </c>
    </row>
    <row r="8">
      <c r="A8" t="inlineStr">
        <is>
          <t>XRCC3group_Low</t>
        </is>
      </c>
      <c r="B8" t="n">
        <v>0.605</v>
      </c>
      <c r="C8" t="n">
        <v>0.409</v>
      </c>
      <c r="D8" t="n">
        <v>0.895</v>
      </c>
      <c r="E8" t="inlineStr">
        <is>
          <t>0.012</t>
        </is>
      </c>
    </row>
    <row r="9">
      <c r="A9" t="inlineStr">
        <is>
          <t>gender_MALE</t>
        </is>
      </c>
      <c r="B9" t="n">
        <v>1.212</v>
      </c>
      <c r="C9" t="n">
        <v>0.8159999999999999</v>
      </c>
      <c r="D9" t="n">
        <v>1.8</v>
      </c>
      <c r="E9" t="inlineStr">
        <is>
          <t>0.342</t>
        </is>
      </c>
    </row>
    <row r="10">
      <c r="A10" t="inlineStr">
        <is>
          <t>pathologic_stage_2.0</t>
        </is>
      </c>
      <c r="B10" t="n">
        <v>2.135</v>
      </c>
      <c r="C10" t="n">
        <v>1.337</v>
      </c>
      <c r="D10" t="n">
        <v>3.41</v>
      </c>
      <c r="E10" t="inlineStr">
        <is>
          <t>0.001</t>
        </is>
      </c>
    </row>
    <row r="11">
      <c r="A11" t="inlineStr">
        <is>
          <t>pathologic_stage_3.0</t>
        </is>
      </c>
      <c r="B11" t="n">
        <v>2.859</v>
      </c>
      <c r="C11" t="n">
        <v>1.779</v>
      </c>
      <c r="D11" t="n">
        <v>4.597</v>
      </c>
      <c r="E11" t="inlineStr">
        <is>
          <t>&lt;0.001</t>
        </is>
      </c>
    </row>
    <row r="12">
      <c r="A12" t="inlineStr">
        <is>
          <t>pathologic_stage_4.0</t>
        </is>
      </c>
      <c r="B12" t="n">
        <v>2.354</v>
      </c>
      <c r="C12" t="n">
        <v>1.156</v>
      </c>
      <c r="D12" t="n">
        <v>4.796</v>
      </c>
      <c r="E12" t="inlineStr">
        <is>
          <t>0.018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age_at_initial_pathologic_diagnosis + number_pack_years_smoked + pathologic_stage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0.0335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2.5314e-02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404.2769</v>
      </c>
      <c r="C8" t="n">
        <v>259.7069</v>
      </c>
      <c r="D8" t="n">
        <v>548.8469</v>
      </c>
      <c r="E8" t="inlineStr">
        <is>
          <t>&lt;0.001</t>
        </is>
      </c>
    </row>
    <row r="9">
      <c r="A9" t="inlineStr">
        <is>
          <t>C(gender)[T.MALE]</t>
        </is>
      </c>
      <c r="B9" t="n">
        <v>6.3325</v>
      </c>
      <c r="C9" t="n">
        <v>-35.7356</v>
      </c>
      <c r="D9" t="n">
        <v>48.4006</v>
      </c>
      <c r="E9" t="inlineStr">
        <is>
          <t>0.767</t>
        </is>
      </c>
    </row>
    <row r="10">
      <c r="A10" t="inlineStr">
        <is>
          <t>age_at_initial_pathologic_diagnosis</t>
        </is>
      </c>
      <c r="B10" t="n">
        <v>-1.8898</v>
      </c>
      <c r="C10" t="n">
        <v>-3.9429</v>
      </c>
      <c r="D10" t="n">
        <v>0.1633</v>
      </c>
      <c r="E10" t="inlineStr">
        <is>
          <t>0.071</t>
        </is>
      </c>
    </row>
    <row r="11">
      <c r="A11" t="inlineStr">
        <is>
          <t>number_pack_years_smoked</t>
        </is>
      </c>
      <c r="B11" t="n">
        <v>1.074</v>
      </c>
      <c r="C11" t="n">
        <v>0.3093</v>
      </c>
      <c r="D11" t="n">
        <v>1.8387</v>
      </c>
      <c r="E11" t="inlineStr">
        <is>
          <t>0.006</t>
        </is>
      </c>
    </row>
    <row r="12">
      <c r="A12" t="inlineStr">
        <is>
          <t>pathologic_stage</t>
        </is>
      </c>
      <c r="B12" t="n">
        <v>5.472</v>
      </c>
      <c r="C12" t="n">
        <v>-16.9269</v>
      </c>
      <c r="D12" t="n">
        <v>27.8709</v>
      </c>
      <c r="E12" t="inlineStr">
        <is>
          <t>0.631</t>
        </is>
      </c>
    </row>
    <row r="13">
      <c r="A13" t="inlineStr"/>
      <c r="B13" t="inlineStr"/>
      <c r="C13" t="inlineStr"/>
      <c r="D13" t="inlineStr"/>
      <c r="E13" t="inlineStr"/>
    </row>
    <row r="14">
      <c r="A14">
        <f>== [ Model: Base + Pathologic T ] ===</f>
        <v/>
      </c>
      <c r="B14" t="inlineStr"/>
      <c r="C14" t="inlineStr"/>
      <c r="D14" t="inlineStr"/>
      <c r="E14" t="inlineStr"/>
    </row>
    <row r="15">
      <c r="A15" t="inlineStr">
        <is>
          <t>Dependent Variable (Y)</t>
        </is>
      </c>
      <c r="B15" t="inlineStr">
        <is>
          <t>XRCC3expression</t>
        </is>
      </c>
      <c r="C15" t="inlineStr"/>
      <c r="D15" t="inlineStr"/>
      <c r="E15" t="inlineStr"/>
    </row>
    <row r="16">
      <c r="A16" t="inlineStr">
        <is>
          <t>Model Formula</t>
        </is>
      </c>
      <c r="B16" t="inlineStr">
        <is>
          <t>XRCC3expression ~ age_at_initial_pathologic_diagnosis + number_pack_years_smoked + pathologic_stage + C(gender) + C(pathologic_T)</t>
        </is>
      </c>
      <c r="C16" t="inlineStr"/>
      <c r="D16" t="inlineStr"/>
      <c r="E16" t="inlineStr"/>
    </row>
    <row r="17">
      <c r="A17" t="inlineStr">
        <is>
          <t>R-squared</t>
        </is>
      </c>
      <c r="B17" t="inlineStr">
        <is>
          <t>0.0572</t>
        </is>
      </c>
      <c r="C17" t="inlineStr"/>
      <c r="D17" t="inlineStr"/>
      <c r="E17" t="inlineStr"/>
    </row>
    <row r="18">
      <c r="A18" t="inlineStr">
        <is>
          <t>Prob (F-statistic)</t>
        </is>
      </c>
      <c r="B18" t="inlineStr">
        <is>
          <t>7.8813e-03</t>
        </is>
      </c>
      <c r="C18" t="inlineStr"/>
      <c r="D18" t="inlineStr"/>
      <c r="E18" t="inlineStr"/>
    </row>
    <row r="19">
      <c r="A19" t="inlineStr">
        <is>
          <t>--- [ Coefficients ] ---</t>
        </is>
      </c>
      <c r="B19" t="inlineStr"/>
      <c r="C19" t="inlineStr"/>
      <c r="D19" t="inlineStr"/>
      <c r="E19" t="inlineStr"/>
    </row>
    <row r="20">
      <c r="A20" t="inlineStr">
        <is>
          <t>Intercept</t>
        </is>
      </c>
      <c r="B20" t="n">
        <v>379.8312</v>
      </c>
      <c r="C20" t="n">
        <v>234.4197</v>
      </c>
      <c r="D20" t="n">
        <v>525.2428</v>
      </c>
      <c r="E20" t="inlineStr">
        <is>
          <t>&lt;0.001</t>
        </is>
      </c>
    </row>
    <row r="21">
      <c r="A21" t="inlineStr">
        <is>
          <t>C(gender)[T.MALE]</t>
        </is>
      </c>
      <c r="B21" t="n">
        <v>0.3704</v>
      </c>
      <c r="C21" t="n">
        <v>-42.392</v>
      </c>
      <c r="D21" t="n">
        <v>43.1328</v>
      </c>
      <c r="E21" t="inlineStr">
        <is>
          <t>0.986</t>
        </is>
      </c>
    </row>
    <row r="22">
      <c r="A22" t="inlineStr">
        <is>
          <t>C(pathologic_T)[T.2.0]</t>
        </is>
      </c>
      <c r="B22" t="n">
        <v>26.3238</v>
      </c>
      <c r="C22" t="n">
        <v>-20.4063</v>
      </c>
      <c r="D22" t="n">
        <v>73.0538</v>
      </c>
      <c r="E22" t="inlineStr">
        <is>
          <t>0.269</t>
        </is>
      </c>
    </row>
    <row r="23">
      <c r="A23" t="inlineStr">
        <is>
          <t>C(pathologic_T)[T.3.0]</t>
        </is>
      </c>
      <c r="B23" t="n">
        <v>-31.1965</v>
      </c>
      <c r="C23" t="n">
        <v>-112.0856</v>
      </c>
      <c r="D23" t="n">
        <v>49.6926</v>
      </c>
      <c r="E23" t="inlineStr">
        <is>
          <t>0.449</t>
        </is>
      </c>
    </row>
    <row r="24">
      <c r="A24" t="inlineStr">
        <is>
          <t>C(pathologic_T)[T.4.0]</t>
        </is>
      </c>
      <c r="B24" t="n">
        <v>-117.6025</v>
      </c>
      <c r="C24" t="n">
        <v>-236.5873</v>
      </c>
      <c r="D24" t="n">
        <v>1.3822</v>
      </c>
      <c r="E24" t="inlineStr">
        <is>
          <t>0.053</t>
        </is>
      </c>
    </row>
    <row r="25">
      <c r="A25" t="inlineStr">
        <is>
          <t>age_at_initial_pathologic_diagnosis</t>
        </is>
      </c>
      <c r="B25" t="n">
        <v>-1.9149</v>
      </c>
      <c r="C25" t="n">
        <v>-3.955</v>
      </c>
      <c r="D25" t="n">
        <v>0.1253</v>
      </c>
      <c r="E25" t="inlineStr">
        <is>
          <t>0.066</t>
        </is>
      </c>
    </row>
    <row r="26">
      <c r="A26" t="inlineStr">
        <is>
          <t>number_pack_years_smoked</t>
        </is>
      </c>
      <c r="B26" t="n">
        <v>1.1692</v>
      </c>
      <c r="C26" t="n">
        <v>0.4058</v>
      </c>
      <c r="D26" t="n">
        <v>1.9327</v>
      </c>
      <c r="E26" t="inlineStr">
        <is>
          <t>0.003</t>
        </is>
      </c>
    </row>
    <row r="27">
      <c r="A27" t="inlineStr">
        <is>
          <t>pathologic_stage</t>
        </is>
      </c>
      <c r="B27" t="n">
        <v>16.1693</v>
      </c>
      <c r="C27" t="n">
        <v>-9.071</v>
      </c>
      <c r="D27" t="n">
        <v>41.4096</v>
      </c>
      <c r="E27" t="inlineStr">
        <is>
          <t>0.208</t>
        </is>
      </c>
    </row>
    <row r="28">
      <c r="A28" t="inlineStr"/>
      <c r="B28" t="inlineStr"/>
      <c r="C28" t="inlineStr"/>
      <c r="D28" t="inlineStr"/>
      <c r="E28" t="inlineStr"/>
    </row>
    <row r="29">
      <c r="A29">
        <f>== [ Model: Base + Pathologic N ] ===</f>
        <v/>
      </c>
      <c r="B29" t="inlineStr"/>
      <c r="C29" t="inlineStr"/>
      <c r="D29" t="inlineStr"/>
      <c r="E29" t="inlineStr"/>
    </row>
    <row r="30">
      <c r="A30" t="inlineStr">
        <is>
          <t>Dependent Variable (Y)</t>
        </is>
      </c>
      <c r="B30" t="inlineStr">
        <is>
          <t>XRCC3expression</t>
        </is>
      </c>
      <c r="C30" t="inlineStr"/>
      <c r="D30" t="inlineStr"/>
      <c r="E30" t="inlineStr"/>
    </row>
    <row r="31">
      <c r="A31" t="inlineStr">
        <is>
          <t>Model Formula</t>
        </is>
      </c>
      <c r="B31" t="inlineStr">
        <is>
          <t>XRCC3expression ~ age_at_initial_pathologic_diagnosis + number_pack_years_smoked + pathologic_stage + C(gender) + C(pathologic_N)</t>
        </is>
      </c>
      <c r="C31" t="inlineStr"/>
      <c r="D31" t="inlineStr"/>
      <c r="E31" t="inlineStr"/>
    </row>
    <row r="32">
      <c r="A32" t="inlineStr">
        <is>
          <t>R-squared</t>
        </is>
      </c>
      <c r="B32" t="inlineStr">
        <is>
          <t>0.0429</t>
        </is>
      </c>
      <c r="C32" t="inlineStr"/>
      <c r="D32" t="inlineStr"/>
      <c r="E32" t="inlineStr"/>
    </row>
    <row r="33">
      <c r="A33" t="inlineStr">
        <is>
          <t>Prob (F-statistic)</t>
        </is>
      </c>
      <c r="B33" t="inlineStr">
        <is>
          <t>5.0231e-02</t>
        </is>
      </c>
      <c r="C33" t="inlineStr"/>
      <c r="D33" t="inlineStr"/>
      <c r="E33" t="inlineStr"/>
    </row>
    <row r="34">
      <c r="A34" t="inlineStr">
        <is>
          <t>--- [ Coefficients ] ---</t>
        </is>
      </c>
      <c r="B34" t="inlineStr"/>
      <c r="C34" t="inlineStr"/>
      <c r="D34" t="inlineStr"/>
      <c r="E34" t="inlineStr"/>
    </row>
    <row r="35">
      <c r="A35" t="inlineStr">
        <is>
          <t>Intercept</t>
        </is>
      </c>
      <c r="B35" t="n">
        <v>385.1541</v>
      </c>
      <c r="C35" t="n">
        <v>236.1287</v>
      </c>
      <c r="D35" t="n">
        <v>534.1796000000001</v>
      </c>
      <c r="E35" t="inlineStr">
        <is>
          <t>&lt;0.001</t>
        </is>
      </c>
    </row>
    <row r="36">
      <c r="A36" t="inlineStr">
        <is>
          <t>C(gender)[T.MALE]</t>
        </is>
      </c>
      <c r="B36" t="n">
        <v>9.6531</v>
      </c>
      <c r="C36" t="n">
        <v>-33.1099</v>
      </c>
      <c r="D36" t="n">
        <v>52.4162</v>
      </c>
      <c r="E36" t="inlineStr">
        <is>
          <t>0.657</t>
        </is>
      </c>
    </row>
    <row r="37">
      <c r="A37" t="inlineStr">
        <is>
          <t>C(pathologic_N)[T.1.0]</t>
        </is>
      </c>
      <c r="B37" t="n">
        <v>-26.1035</v>
      </c>
      <c r="C37" t="n">
        <v>-88.70529999999999</v>
      </c>
      <c r="D37" t="n">
        <v>36.4984</v>
      </c>
      <c r="E37" t="inlineStr">
        <is>
          <t>0.413</t>
        </is>
      </c>
    </row>
    <row r="38">
      <c r="A38" t="inlineStr">
        <is>
          <t>C(pathologic_N)[T.2.0]</t>
        </is>
      </c>
      <c r="B38" t="n">
        <v>-16.7656</v>
      </c>
      <c r="C38" t="n">
        <v>-100.8467</v>
      </c>
      <c r="D38" t="n">
        <v>67.3156</v>
      </c>
      <c r="E38" t="inlineStr">
        <is>
          <t>0.695</t>
        </is>
      </c>
    </row>
    <row r="39">
      <c r="A39" t="inlineStr">
        <is>
          <t>C(pathologic_N)[T.3.0]</t>
        </is>
      </c>
      <c r="B39" t="n">
        <v>215.592</v>
      </c>
      <c r="C39" t="n">
        <v>-55.9509</v>
      </c>
      <c r="D39" t="n">
        <v>487.1348</v>
      </c>
      <c r="E39" t="inlineStr">
        <is>
          <t>0.119</t>
        </is>
      </c>
    </row>
    <row r="40">
      <c r="A40" t="inlineStr">
        <is>
          <t>age_at_initial_pathologic_diagnosis</t>
        </is>
      </c>
      <c r="B40" t="n">
        <v>-1.5947</v>
      </c>
      <c r="C40" t="n">
        <v>-3.6846</v>
      </c>
      <c r="D40" t="n">
        <v>0.4952</v>
      </c>
      <c r="E40" t="inlineStr">
        <is>
          <t>0.134</t>
        </is>
      </c>
    </row>
    <row r="41">
      <c r="A41" t="inlineStr">
        <is>
          <t>number_pack_years_smoked</t>
        </is>
      </c>
      <c r="B41" t="n">
        <v>1.0254</v>
      </c>
      <c r="C41" t="n">
        <v>0.2496</v>
      </c>
      <c r="D41" t="n">
        <v>1.8012</v>
      </c>
      <c r="E41" t="inlineStr">
        <is>
          <t>0.010</t>
        </is>
      </c>
    </row>
    <row r="42">
      <c r="A42" t="inlineStr">
        <is>
          <t>pathologic_stage</t>
        </is>
      </c>
      <c r="B42" t="n">
        <v>9.6914</v>
      </c>
      <c r="C42" t="n">
        <v>-23.1689</v>
      </c>
      <c r="D42" t="n">
        <v>42.5517</v>
      </c>
      <c r="E42" t="inlineStr">
        <is>
          <t>0.562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Base +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XRCC3expression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XRCC3expression ~ age_at_initial_pathologic_diagnosis + number_pack_years_smoked + pathologic_stage + C(gender)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0.0151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6.2441e-01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331.1695</v>
      </c>
      <c r="C50" t="n">
        <v>176.6512</v>
      </c>
      <c r="D50" t="n">
        <v>485.6878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-1.1893</v>
      </c>
      <c r="C51" t="n">
        <v>-47.0801</v>
      </c>
      <c r="D51" t="n">
        <v>44.7015</v>
      </c>
      <c r="E51" t="inlineStr">
        <is>
          <t>0.959</t>
        </is>
      </c>
    </row>
    <row r="52">
      <c r="A52" t="inlineStr">
        <is>
          <t>C(pathologic_M)[T.1.0]</t>
        </is>
      </c>
      <c r="B52" t="n">
        <v>61.5523</v>
      </c>
      <c r="C52" t="n">
        <v>-48.305</v>
      </c>
      <c r="D52" t="n">
        <v>171.4096</v>
      </c>
      <c r="E52" t="inlineStr">
        <is>
          <t>0.271</t>
        </is>
      </c>
    </row>
    <row r="53">
      <c r="A53" t="inlineStr">
        <is>
          <t>age_at_initial_pathologic_diagnosis</t>
        </is>
      </c>
      <c r="B53" t="n">
        <v>-0.2563</v>
      </c>
      <c r="C53" t="n">
        <v>-2.4768</v>
      </c>
      <c r="D53" t="n">
        <v>1.9641</v>
      </c>
      <c r="E53" t="inlineStr">
        <is>
          <t>0.820</t>
        </is>
      </c>
    </row>
    <row r="54">
      <c r="A54" t="inlineStr">
        <is>
          <t>number_pack_years_smoked</t>
        </is>
      </c>
      <c r="B54" t="n">
        <v>0.5237000000000001</v>
      </c>
      <c r="C54" t="n">
        <v>-0.3179</v>
      </c>
      <c r="D54" t="n">
        <v>1.3654</v>
      </c>
      <c r="E54" t="inlineStr">
        <is>
          <t>0.221</t>
        </is>
      </c>
    </row>
    <row r="55">
      <c r="A55" t="inlineStr">
        <is>
          <t>pathologic_stage</t>
        </is>
      </c>
      <c r="B55" t="n">
        <v>-2.4592</v>
      </c>
      <c r="C55" t="n">
        <v>-31.5433</v>
      </c>
      <c r="D55" t="n">
        <v>26.6249</v>
      </c>
      <c r="E55" t="inlineStr">
        <is>
          <t>0.868</t>
        </is>
      </c>
    </row>
    <row r="56">
      <c r="A56" t="inlineStr"/>
      <c r="B56" t="inlineStr"/>
      <c r="C56" t="inlineStr"/>
      <c r="D56" t="inlineStr"/>
      <c r="E5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XRCC3</t>
        </is>
      </c>
      <c r="D2" t="inlineStr">
        <is>
          <t>3.473</t>
        </is>
      </c>
      <c r="E2" t="inlineStr">
        <is>
          <t>0.062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XRCC3</t>
        </is>
      </c>
      <c r="D3" t="inlineStr">
        <is>
          <t>0.657</t>
        </is>
      </c>
      <c r="E3" t="inlineStr">
        <is>
          <t>0.418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2026-06-29T15:37:44Z</dcterms:created>
  <dcterms:modified xsi:type="dcterms:W3CDTF">2026-06-29T15:37:44Z</dcterms:modified>
</cp:coreProperties>
</file>
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(Chi-square)" sheetId="1" state="visible" r:id="rId1"/>
    <sheet name="Table 2 (Correlation)" sheetId="2" state="visible" r:id="rId2"/>
    <sheet name="Table 3 (Cox)" sheetId="3" state="visible" r:id="rId3"/>
    <sheet name="Table 4 (Multivariate OL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</row>
    <row r="3">
      <c r="A3" t="inlineStr">
        <is>
          <t xml:space="preserve">  0.0</t>
        </is>
      </c>
      <c r="B3" t="n">
        <v>125</v>
      </c>
      <c r="C3" t="n">
        <v>111</v>
      </c>
      <c r="D3" t="inlineStr">
        <is>
          <t>0.240</t>
        </is>
      </c>
    </row>
    <row r="4">
      <c r="A4" t="inlineStr">
        <is>
          <t xml:space="preserve">  1.0</t>
        </is>
      </c>
      <c r="B4" t="n">
        <v>120</v>
      </c>
      <c r="C4" t="n">
        <v>134</v>
      </c>
      <c r="D4" t="inlineStr"/>
    </row>
    <row r="5">
      <c r="A5" t="inlineStr">
        <is>
          <t>gender</t>
        </is>
      </c>
      <c r="B5" t="inlineStr"/>
      <c r="C5" t="inlineStr"/>
      <c r="D5" t="inlineStr"/>
    </row>
    <row r="6">
      <c r="A6" t="inlineStr">
        <is>
          <t>  </t>
        </is>
      </c>
      <c r="B6" t="n">
        <v>1</v>
      </c>
      <c r="C6" t="n">
        <v>1</v>
      </c>
      <c r="D6" t="inlineStr">
        <is>
          <t>0.862</t>
        </is>
      </c>
    </row>
    <row r="7">
      <c r="A7" t="inlineStr">
        <is>
          <t xml:space="preserve">  FEMALE</t>
        </is>
      </c>
      <c r="B7" t="n">
        <v>130</v>
      </c>
      <c r="C7" t="n">
        <v>136</v>
      </c>
      <c r="D7" t="inlineStr"/>
    </row>
    <row r="8">
      <c r="A8" t="inlineStr">
        <is>
          <t xml:space="preserve">  MALE</t>
        </is>
      </c>
      <c r="B8" t="n">
        <v>115</v>
      </c>
      <c r="C8" t="n">
        <v>109</v>
      </c>
      <c r="D8" t="inlineStr"/>
    </row>
    <row r="9">
      <c r="A9" t="inlineStr">
        <is>
          <t>pathologic_stage</t>
        </is>
      </c>
      <c r="B9" t="inlineStr"/>
      <c r="C9" t="inlineStr"/>
      <c r="D9" t="inlineStr"/>
    </row>
    <row r="10">
      <c r="A10" t="inlineStr">
        <is>
          <t xml:space="preserve">  1.0</t>
        </is>
      </c>
      <c r="B10" t="n">
        <v>121</v>
      </c>
      <c r="C10" t="n">
        <v>141</v>
      </c>
      <c r="D10" t="inlineStr">
        <is>
          <t>0.151</t>
        </is>
      </c>
    </row>
    <row r="11">
      <c r="A11" t="inlineStr">
        <is>
          <t xml:space="preserve">  2.0</t>
        </is>
      </c>
      <c r="B11" t="n">
        <v>60</v>
      </c>
      <c r="C11" t="n">
        <v>57</v>
      </c>
      <c r="D11" t="inlineStr"/>
    </row>
    <row r="12">
      <c r="A12" t="inlineStr">
        <is>
          <t xml:space="preserve">  3.0</t>
        </is>
      </c>
      <c r="B12" t="n">
        <v>44</v>
      </c>
      <c r="C12" t="n">
        <v>35</v>
      </c>
      <c r="D12" t="inlineStr"/>
    </row>
    <row r="13">
      <c r="A13" t="inlineStr">
        <is>
          <t xml:space="preserve">  4.0</t>
        </is>
      </c>
      <c r="B13" t="n">
        <v>16</v>
      </c>
      <c r="C13" t="n">
        <v>8</v>
      </c>
      <c r="D13" t="inlineStr"/>
    </row>
    <row r="14">
      <c r="A14" t="inlineStr">
        <is>
          <t>pathologic_M</t>
        </is>
      </c>
      <c r="B14" t="inlineStr"/>
      <c r="C14" t="inlineStr"/>
      <c r="D14" t="inlineStr"/>
    </row>
    <row r="15">
      <c r="A15" t="inlineStr">
        <is>
          <t xml:space="preserve">  0.0</t>
        </is>
      </c>
      <c r="B15" t="n">
        <v>156</v>
      </c>
      <c r="C15" t="n">
        <v>166</v>
      </c>
      <c r="D15" t="inlineStr">
        <is>
          <t>0.131</t>
        </is>
      </c>
    </row>
    <row r="16">
      <c r="A16" t="inlineStr">
        <is>
          <t xml:space="preserve">  1.0</t>
        </is>
      </c>
      <c r="B16" t="n">
        <v>16</v>
      </c>
      <c r="C16" t="n">
        <v>8</v>
      </c>
      <c r="D16" t="inlineStr"/>
    </row>
    <row r="17">
      <c r="A17" t="inlineStr">
        <is>
          <t>pathologic_N</t>
        </is>
      </c>
      <c r="B17" t="inlineStr"/>
      <c r="C17" t="inlineStr"/>
      <c r="D17" t="inlineStr"/>
    </row>
    <row r="18">
      <c r="A18" t="inlineStr">
        <is>
          <t xml:space="preserve">  0.0</t>
        </is>
      </c>
      <c r="B18" t="n">
        <v>148</v>
      </c>
      <c r="C18" t="n">
        <v>168</v>
      </c>
      <c r="D18" t="inlineStr">
        <is>
          <t>0.304</t>
        </is>
      </c>
    </row>
    <row r="19">
      <c r="A19" t="inlineStr">
        <is>
          <t xml:space="preserve">  1.0</t>
        </is>
      </c>
      <c r="B19" t="n">
        <v>49</v>
      </c>
      <c r="C19" t="n">
        <v>44</v>
      </c>
      <c r="D19" t="inlineStr"/>
    </row>
    <row r="20">
      <c r="A20" t="inlineStr">
        <is>
          <t xml:space="preserve">  2.0</t>
        </is>
      </c>
      <c r="B20" t="n">
        <v>40</v>
      </c>
      <c r="C20" t="n">
        <v>28</v>
      </c>
      <c r="D20" t="inlineStr"/>
    </row>
    <row r="21">
      <c r="A21" t="inlineStr">
        <is>
          <t xml:space="preserve">  3.0</t>
        </is>
      </c>
      <c r="B21" t="n">
        <v>1</v>
      </c>
      <c r="C21" t="n">
        <v>1</v>
      </c>
      <c r="D21" t="inlineStr"/>
    </row>
    <row r="22">
      <c r="A22" t="inlineStr">
        <is>
          <t>pathologic_T</t>
        </is>
      </c>
      <c r="B22" t="inlineStr"/>
      <c r="C22" t="inlineStr"/>
      <c r="D22" t="inlineStr"/>
    </row>
    <row r="23">
      <c r="A23" t="inlineStr">
        <is>
          <t xml:space="preserve">  1.0</t>
        </is>
      </c>
      <c r="B23" t="n">
        <v>79</v>
      </c>
      <c r="C23" t="n">
        <v>85</v>
      </c>
      <c r="D23" t="inlineStr">
        <is>
          <t>0.632</t>
        </is>
      </c>
    </row>
    <row r="24">
      <c r="A24" t="inlineStr">
        <is>
          <t xml:space="preserve">  2.0</t>
        </is>
      </c>
      <c r="B24" t="n">
        <v>132</v>
      </c>
      <c r="C24" t="n">
        <v>128</v>
      </c>
      <c r="D24" t="inlineStr"/>
    </row>
    <row r="25">
      <c r="A25" t="inlineStr">
        <is>
          <t xml:space="preserve">  3.0</t>
        </is>
      </c>
      <c r="B25" t="n">
        <v>25</v>
      </c>
      <c r="C25" t="n">
        <v>20</v>
      </c>
      <c r="D25" t="inlineStr"/>
    </row>
    <row r="26">
      <c r="A26" t="inlineStr">
        <is>
          <t xml:space="preserve">  4.0</t>
        </is>
      </c>
      <c r="B26" t="n">
        <v>7</v>
      </c>
      <c r="C26" t="n">
        <v>11</v>
      </c>
      <c r="D26" t="inlineStr"/>
    </row>
    <row r="27">
      <c r="A27" t="inlineStr">
        <is>
          <t>SmokingStatus</t>
        </is>
      </c>
      <c r="B27" t="inlineStr"/>
      <c r="C27" t="inlineStr"/>
      <c r="D27" t="inlineStr"/>
    </row>
    <row r="28">
      <c r="A28" t="inlineStr">
        <is>
          <t xml:space="preserve">  0.0</t>
        </is>
      </c>
      <c r="B28" t="n">
        <v>76</v>
      </c>
      <c r="C28" t="n">
        <v>83</v>
      </c>
      <c r="D28" t="inlineStr">
        <is>
          <t>0.563</t>
        </is>
      </c>
    </row>
    <row r="29">
      <c r="A29" t="inlineStr">
        <is>
          <t xml:space="preserve">  1.0</t>
        </is>
      </c>
      <c r="B29" t="n">
        <v>170</v>
      </c>
      <c r="C29" t="n">
        <v>163</v>
      </c>
      <c r="D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SNAI1expression</t>
        </is>
      </c>
      <c r="D1" s="1" t="inlineStr">
        <is>
          <t>number_pack_years_smoked</t>
        </is>
      </c>
      <c r="E1" s="1" t="inlineStr">
        <is>
          <t>KrasExpression</t>
        </is>
      </c>
      <c r="F1" s="1" t="inlineStr">
        <is>
          <t>TP53Expression</t>
        </is>
      </c>
      <c r="G1" s="1" t="inlineStr">
        <is>
          <t>ALKExpression</t>
        </is>
      </c>
      <c r="H1" s="1" t="inlineStr">
        <is>
          <t>BRAFExpression</t>
        </is>
      </c>
      <c r="I1" s="1" t="inlineStr">
        <is>
          <t>age_at_initial_pathologic_diagnosis</t>
        </is>
      </c>
    </row>
    <row r="2">
      <c r="A2" t="inlineStr">
        <is>
          <t>SNAI1expression</t>
        </is>
      </c>
      <c r="B2" t="inlineStr">
        <is>
          <t>R</t>
        </is>
      </c>
      <c r="C2" t="inlineStr">
        <is>
          <t>1</t>
        </is>
      </c>
      <c r="D2" t="inlineStr">
        <is>
          <t>-0.007</t>
        </is>
      </c>
      <c r="E2" t="inlineStr">
        <is>
          <t>-0.045</t>
        </is>
      </c>
      <c r="F2" t="inlineStr">
        <is>
          <t>-0.147</t>
        </is>
      </c>
      <c r="G2" t="inlineStr">
        <is>
          <t>-0.047</t>
        </is>
      </c>
      <c r="H2" t="inlineStr">
        <is>
          <t>0.051</t>
        </is>
      </c>
      <c r="I2" t="inlineStr">
        <is>
          <t>-0.084</t>
        </is>
      </c>
    </row>
    <row r="3">
      <c r="A3" t="inlineStr"/>
      <c r="B3" t="inlineStr">
        <is>
          <t>P</t>
        </is>
      </c>
      <c r="C3" t="inlineStr"/>
      <c r="D3" t="inlineStr">
        <is>
          <t>0.906</t>
        </is>
      </c>
      <c r="E3" t="inlineStr">
        <is>
          <t>0.412</t>
        </is>
      </c>
      <c r="F3" t="inlineStr">
        <is>
          <t>0.007</t>
        </is>
      </c>
      <c r="G3" t="inlineStr">
        <is>
          <t>0.398</t>
        </is>
      </c>
      <c r="H3" t="inlineStr">
        <is>
          <t>0.352</t>
        </is>
      </c>
      <c r="I3" t="inlineStr">
        <is>
          <t>0.128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-0.007</t>
        </is>
      </c>
      <c r="D4" t="inlineStr">
        <is>
          <t>1</t>
        </is>
      </c>
      <c r="E4" t="inlineStr">
        <is>
          <t>-0.039</t>
        </is>
      </c>
      <c r="F4" t="inlineStr">
        <is>
          <t>0.046</t>
        </is>
      </c>
      <c r="G4" t="inlineStr">
        <is>
          <t>0.010</t>
        </is>
      </c>
      <c r="H4" t="inlineStr">
        <is>
          <t>-0.016</t>
        </is>
      </c>
      <c r="I4" t="inlineStr">
        <is>
          <t>0.074</t>
        </is>
      </c>
    </row>
    <row r="5">
      <c r="A5" t="inlineStr"/>
      <c r="B5" t="inlineStr">
        <is>
          <t>P</t>
        </is>
      </c>
      <c r="C5" t="inlineStr">
        <is>
          <t>0.906</t>
        </is>
      </c>
      <c r="D5" t="inlineStr"/>
      <c r="E5" t="inlineStr">
        <is>
          <t>0.482</t>
        </is>
      </c>
      <c r="F5" t="inlineStr">
        <is>
          <t>0.408</t>
        </is>
      </c>
      <c r="G5" t="inlineStr">
        <is>
          <t>0.859</t>
        </is>
      </c>
      <c r="H5" t="inlineStr">
        <is>
          <t>0.774</t>
        </is>
      </c>
      <c r="I5" t="inlineStr">
        <is>
          <t>0.181</t>
        </is>
      </c>
    </row>
    <row r="6">
      <c r="A6" t="inlineStr">
        <is>
          <t>KrasExpression</t>
        </is>
      </c>
      <c r="B6" t="inlineStr">
        <is>
          <t>R</t>
        </is>
      </c>
      <c r="C6" t="inlineStr">
        <is>
          <t>-0.045</t>
        </is>
      </c>
      <c r="D6" t="inlineStr">
        <is>
          <t>-0.039</t>
        </is>
      </c>
      <c r="E6" t="inlineStr">
        <is>
          <t>1</t>
        </is>
      </c>
      <c r="F6" t="inlineStr">
        <is>
          <t>-0.063</t>
        </is>
      </c>
      <c r="G6" t="inlineStr">
        <is>
          <t>0.006</t>
        </is>
      </c>
      <c r="H6" t="inlineStr">
        <is>
          <t>0.065</t>
        </is>
      </c>
      <c r="I6" t="inlineStr">
        <is>
          <t>-0.040</t>
        </is>
      </c>
    </row>
    <row r="7">
      <c r="A7" t="inlineStr"/>
      <c r="B7" t="inlineStr">
        <is>
          <t>P</t>
        </is>
      </c>
      <c r="C7" t="inlineStr">
        <is>
          <t>0.412</t>
        </is>
      </c>
      <c r="D7" t="inlineStr">
        <is>
          <t>0.482</t>
        </is>
      </c>
      <c r="E7" t="inlineStr"/>
      <c r="F7" t="inlineStr">
        <is>
          <t>0.250</t>
        </is>
      </c>
      <c r="G7" t="inlineStr">
        <is>
          <t>0.913</t>
        </is>
      </c>
      <c r="H7" t="inlineStr">
        <is>
          <t>0.239</t>
        </is>
      </c>
      <c r="I7" t="inlineStr">
        <is>
          <t>0.468</t>
        </is>
      </c>
    </row>
    <row r="8">
      <c r="A8" t="inlineStr">
        <is>
          <t>TP53Expression</t>
        </is>
      </c>
      <c r="B8" t="inlineStr">
        <is>
          <t>R</t>
        </is>
      </c>
      <c r="C8" t="inlineStr">
        <is>
          <t>-0.147</t>
        </is>
      </c>
      <c r="D8" t="inlineStr">
        <is>
          <t>0.046</t>
        </is>
      </c>
      <c r="E8" t="inlineStr">
        <is>
          <t>-0.063</t>
        </is>
      </c>
      <c r="F8" t="inlineStr">
        <is>
          <t>1</t>
        </is>
      </c>
      <c r="G8" t="inlineStr">
        <is>
          <t>0.062</t>
        </is>
      </c>
      <c r="H8" t="inlineStr">
        <is>
          <t>0.037</t>
        </is>
      </c>
      <c r="I8" t="inlineStr">
        <is>
          <t>0.122</t>
        </is>
      </c>
    </row>
    <row r="9">
      <c r="A9" t="inlineStr"/>
      <c r="B9" t="inlineStr">
        <is>
          <t>P</t>
        </is>
      </c>
      <c r="C9" t="inlineStr">
        <is>
          <t>0.007</t>
        </is>
      </c>
      <c r="D9" t="inlineStr">
        <is>
          <t>0.408</t>
        </is>
      </c>
      <c r="E9" t="inlineStr">
        <is>
          <t>0.250</t>
        </is>
      </c>
      <c r="F9" t="inlineStr"/>
      <c r="G9" t="inlineStr">
        <is>
          <t>0.257</t>
        </is>
      </c>
      <c r="H9" t="inlineStr">
        <is>
          <t>0.504</t>
        </is>
      </c>
      <c r="I9" t="inlineStr">
        <is>
          <t>0.026</t>
        </is>
      </c>
    </row>
    <row r="10">
      <c r="A10" t="inlineStr">
        <is>
          <t>ALKExpression</t>
        </is>
      </c>
      <c r="B10" t="inlineStr">
        <is>
          <t>R</t>
        </is>
      </c>
      <c r="C10" t="inlineStr">
        <is>
          <t>-0.047</t>
        </is>
      </c>
      <c r="D10" t="inlineStr">
        <is>
          <t>0.010</t>
        </is>
      </c>
      <c r="E10" t="inlineStr">
        <is>
          <t>0.006</t>
        </is>
      </c>
      <c r="F10" t="inlineStr">
        <is>
          <t>0.062</t>
        </is>
      </c>
      <c r="G10" t="inlineStr">
        <is>
          <t>1</t>
        </is>
      </c>
      <c r="H10" t="inlineStr">
        <is>
          <t>0.005</t>
        </is>
      </c>
      <c r="I10" t="inlineStr">
        <is>
          <t>-0.069</t>
        </is>
      </c>
    </row>
    <row r="11">
      <c r="A11" t="inlineStr"/>
      <c r="B11" t="inlineStr">
        <is>
          <t>P</t>
        </is>
      </c>
      <c r="C11" t="inlineStr">
        <is>
          <t>0.398</t>
        </is>
      </c>
      <c r="D11" t="inlineStr">
        <is>
          <t>0.859</t>
        </is>
      </c>
      <c r="E11" t="inlineStr">
        <is>
          <t>0.913</t>
        </is>
      </c>
      <c r="F11" t="inlineStr">
        <is>
          <t>0.257</t>
        </is>
      </c>
      <c r="G11" t="inlineStr"/>
      <c r="H11" t="inlineStr">
        <is>
          <t>0.928</t>
        </is>
      </c>
      <c r="I11" t="inlineStr">
        <is>
          <t>0.212</t>
        </is>
      </c>
    </row>
    <row r="12">
      <c r="A12" t="inlineStr">
        <is>
          <t>BRAFExpression</t>
        </is>
      </c>
      <c r="B12" t="inlineStr">
        <is>
          <t>R</t>
        </is>
      </c>
      <c r="C12" t="inlineStr">
        <is>
          <t>0.051</t>
        </is>
      </c>
      <c r="D12" t="inlineStr">
        <is>
          <t>-0.016</t>
        </is>
      </c>
      <c r="E12" t="inlineStr">
        <is>
          <t>0.065</t>
        </is>
      </c>
      <c r="F12" t="inlineStr">
        <is>
          <t>0.037</t>
        </is>
      </c>
      <c r="G12" t="inlineStr">
        <is>
          <t>0.005</t>
        </is>
      </c>
      <c r="H12" t="inlineStr">
        <is>
          <t>1</t>
        </is>
      </c>
      <c r="I12" t="inlineStr">
        <is>
          <t>-0.055</t>
        </is>
      </c>
    </row>
    <row r="13">
      <c r="A13" t="inlineStr"/>
      <c r="B13" t="inlineStr">
        <is>
          <t>P</t>
        </is>
      </c>
      <c r="C13" t="inlineStr">
        <is>
          <t>0.352</t>
        </is>
      </c>
      <c r="D13" t="inlineStr">
        <is>
          <t>0.774</t>
        </is>
      </c>
      <c r="E13" t="inlineStr">
        <is>
          <t>0.239</t>
        </is>
      </c>
      <c r="F13" t="inlineStr">
        <is>
          <t>0.504</t>
        </is>
      </c>
      <c r="G13" t="inlineStr">
        <is>
          <t>0.928</t>
        </is>
      </c>
      <c r="H13" t="inlineStr"/>
      <c r="I13" t="inlineStr">
        <is>
          <t>0.317</t>
        </is>
      </c>
    </row>
    <row r="14">
      <c r="A14" t="inlineStr">
        <is>
          <t>age_at_initial_pathologic_diagnosis</t>
        </is>
      </c>
      <c r="B14" t="inlineStr">
        <is>
          <t>R</t>
        </is>
      </c>
      <c r="C14" t="inlineStr">
        <is>
          <t>-0.084</t>
        </is>
      </c>
      <c r="D14" t="inlineStr">
        <is>
          <t>0.074</t>
        </is>
      </c>
      <c r="E14" t="inlineStr">
        <is>
          <t>-0.040</t>
        </is>
      </c>
      <c r="F14" t="inlineStr">
        <is>
          <t>0.122</t>
        </is>
      </c>
      <c r="G14" t="inlineStr">
        <is>
          <t>-0.069</t>
        </is>
      </c>
      <c r="H14" t="inlineStr">
        <is>
          <t>-0.055</t>
        </is>
      </c>
      <c r="I14" t="inlineStr">
        <is>
          <t>1</t>
        </is>
      </c>
    </row>
    <row r="15">
      <c r="A15" t="inlineStr"/>
      <c r="B15" t="inlineStr">
        <is>
          <t>P</t>
        </is>
      </c>
      <c r="C15" t="inlineStr">
        <is>
          <t>0.128</t>
        </is>
      </c>
      <c r="D15" t="inlineStr">
        <is>
          <t>0.181</t>
        </is>
      </c>
      <c r="E15" t="inlineStr">
        <is>
          <t>0.468</t>
        </is>
      </c>
      <c r="F15" t="inlineStr">
        <is>
          <t>0.026</t>
        </is>
      </c>
      <c r="G15" t="inlineStr">
        <is>
          <t>0.212</t>
        </is>
      </c>
      <c r="H15" t="inlineStr">
        <is>
          <t>0.317</t>
        </is>
      </c>
      <c r="I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P-value</t>
        </is>
      </c>
    </row>
    <row r="2">
      <c r="A2" t="inlineStr">
        <is>
          <t>age_at_initial_pathologic_diagnosis</t>
        </is>
      </c>
      <c r="B2" t="n">
        <v>1.013</v>
      </c>
      <c r="C2" t="inlineStr">
        <is>
          <t>0.182</t>
        </is>
      </c>
    </row>
    <row r="3">
      <c r="A3" t="inlineStr">
        <is>
          <t>number_pack_years_smoked</t>
        </is>
      </c>
      <c r="B3" t="n">
        <v>1.001</v>
      </c>
      <c r="C3" t="inlineStr">
        <is>
          <t>0.883</t>
        </is>
      </c>
    </row>
    <row r="4">
      <c r="A4" t="inlineStr">
        <is>
          <t>SNAI1group_Low</t>
        </is>
      </c>
      <c r="B4" t="n">
        <v>0.748</v>
      </c>
      <c r="C4" t="inlineStr">
        <is>
          <t>0.131</t>
        </is>
      </c>
    </row>
    <row r="5">
      <c r="A5" t="inlineStr">
        <is>
          <t>gender_MALE</t>
        </is>
      </c>
      <c r="B5" t="n">
        <v>1.258</v>
      </c>
      <c r="C5" t="inlineStr">
        <is>
          <t>0.247</t>
        </is>
      </c>
    </row>
    <row r="6">
      <c r="A6" t="inlineStr">
        <is>
          <t>pathologic_stage_2.0</t>
        </is>
      </c>
      <c r="B6" t="n">
        <v>2.119</v>
      </c>
      <c r="C6" t="inlineStr">
        <is>
          <t>0.001</t>
        </is>
      </c>
    </row>
    <row r="7">
      <c r="A7" t="inlineStr">
        <is>
          <t>pathologic_stage_3.0</t>
        </is>
      </c>
      <c r="B7" t="n">
        <v>2.737</v>
      </c>
      <c r="C7" t="inlineStr">
        <is>
          <t>&lt;0.001</t>
        </is>
      </c>
    </row>
    <row r="8">
      <c r="A8" t="inlineStr">
        <is>
          <t>pathologic_stage_4.0</t>
        </is>
      </c>
      <c r="B8" t="n">
        <v>2.74</v>
      </c>
      <c r="C8" t="inlineStr">
        <is>
          <t>0.005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>
        <f>== [ Model: Pathologic Stage ] ===</f>
        <v/>
      </c>
      <c r="B2" t="inlineStr"/>
      <c r="C2" t="inlineStr"/>
      <c r="D2" t="inlineStr"/>
      <c r="E2" t="inlineStr"/>
    </row>
    <row r="3">
      <c r="A3" t="inlineStr">
        <is>
          <t>Dependent Variable (Y)</t>
        </is>
      </c>
      <c r="B3" t="inlineStr">
        <is>
          <t>SNAI1expression</t>
        </is>
      </c>
      <c r="C3" t="inlineStr"/>
      <c r="D3" t="inlineStr"/>
      <c r="E3" t="inlineStr"/>
    </row>
    <row r="4">
      <c r="A4" t="inlineStr">
        <is>
          <t>Model Formula</t>
        </is>
      </c>
      <c r="B4" t="inlineStr">
        <is>
          <t>SNAI1expression ~ age_at_initial_pathologic_diagnosis + C(gender) + number_pack_years_smoked + C(pathologic_stage)</t>
        </is>
      </c>
      <c r="C4" t="inlineStr"/>
      <c r="D4" t="inlineStr"/>
      <c r="E4" t="inlineStr"/>
    </row>
    <row r="5">
      <c r="A5" t="inlineStr">
        <is>
          <t>R-squared</t>
        </is>
      </c>
      <c r="B5" t="inlineStr">
        <is>
          <t>0.0216</t>
        </is>
      </c>
      <c r="C5" t="inlineStr"/>
      <c r="D5" t="inlineStr"/>
      <c r="E5" t="inlineStr"/>
    </row>
    <row r="6">
      <c r="A6" t="inlineStr">
        <is>
          <t>Prob (F-statistic)</t>
        </is>
      </c>
      <c r="B6" t="inlineStr">
        <is>
          <t>3.1296e-01</t>
        </is>
      </c>
      <c r="C6" t="inlineStr"/>
      <c r="D6" t="inlineStr"/>
      <c r="E6" t="inlineStr"/>
    </row>
    <row r="7">
      <c r="A7" t="inlineStr">
        <is>
          <t>--- [ Coefficients ] ---</t>
        </is>
      </c>
      <c r="B7" t="inlineStr"/>
      <c r="C7" t="inlineStr"/>
      <c r="D7" t="inlineStr"/>
      <c r="E7" t="inlineStr"/>
    </row>
    <row r="8">
      <c r="A8" t="inlineStr">
        <is>
          <t>Intercept</t>
        </is>
      </c>
      <c r="B8" t="n">
        <v>182.4239</v>
      </c>
      <c r="C8" t="n">
        <v>93.6889</v>
      </c>
      <c r="D8" t="n">
        <v>271.1589</v>
      </c>
      <c r="E8" t="inlineStr">
        <is>
          <t>&lt;0.001</t>
        </is>
      </c>
    </row>
    <row r="9">
      <c r="A9" t="inlineStr">
        <is>
          <t>C(gender)[T.MALE]</t>
        </is>
      </c>
      <c r="B9" t="n">
        <v>-12.1455</v>
      </c>
      <c r="C9" t="n">
        <v>-39.1667</v>
      </c>
      <c r="D9" t="n">
        <v>14.8756</v>
      </c>
      <c r="E9" t="inlineStr">
        <is>
          <t>0.377</t>
        </is>
      </c>
    </row>
    <row r="10">
      <c r="A10" t="inlineStr">
        <is>
          <t>C(pathologic_stage)[T.2.0]</t>
        </is>
      </c>
      <c r="B10" t="n">
        <v>26.1326</v>
      </c>
      <c r="C10" t="n">
        <v>-6.3367</v>
      </c>
      <c r="D10" t="n">
        <v>58.6019</v>
      </c>
      <c r="E10" t="inlineStr">
        <is>
          <t>0.114</t>
        </is>
      </c>
    </row>
    <row r="11">
      <c r="A11" t="inlineStr">
        <is>
          <t>C(pathologic_stage)[T.3.0]</t>
        </is>
      </c>
      <c r="B11" t="n">
        <v>33.3851</v>
      </c>
      <c r="C11" t="n">
        <v>-2.8044</v>
      </c>
      <c r="D11" t="n">
        <v>69.5745</v>
      </c>
      <c r="E11" t="inlineStr">
        <is>
          <t>0.070</t>
        </is>
      </c>
    </row>
    <row r="12">
      <c r="A12" t="inlineStr">
        <is>
          <t>C(pathologic_stage)[T.4.0]</t>
        </is>
      </c>
      <c r="B12" t="n">
        <v>18.3964</v>
      </c>
      <c r="C12" t="n">
        <v>-41.9345</v>
      </c>
      <c r="D12" t="n">
        <v>78.7274</v>
      </c>
      <c r="E12" t="inlineStr">
        <is>
          <t>0.549</t>
        </is>
      </c>
    </row>
    <row r="13">
      <c r="A13" t="inlineStr">
        <is>
          <t>age_at_initial_pathologic_diagnosis</t>
        </is>
      </c>
      <c r="B13" t="n">
        <v>-0.9024</v>
      </c>
      <c r="C13" t="n">
        <v>-2.2134</v>
      </c>
      <c r="D13" t="n">
        <v>0.4087</v>
      </c>
      <c r="E13" t="inlineStr">
        <is>
          <t>0.177</t>
        </is>
      </c>
    </row>
    <row r="14">
      <c r="A14" t="inlineStr">
        <is>
          <t>number_pack_years_smoked</t>
        </is>
      </c>
      <c r="B14" t="n">
        <v>0.0803</v>
      </c>
      <c r="C14" t="n">
        <v>-0.4088</v>
      </c>
      <c r="D14" t="n">
        <v>0.5695</v>
      </c>
      <c r="E14" t="inlineStr">
        <is>
          <t>0.747</t>
        </is>
      </c>
    </row>
    <row r="15">
      <c r="A15" t="inlineStr"/>
      <c r="B15" t="inlineStr"/>
      <c r="C15" t="inlineStr"/>
      <c r="D15" t="inlineStr"/>
      <c r="E15" t="inlineStr"/>
    </row>
    <row r="16">
      <c r="A16">
        <f>== [ Model: Pathologic T ] ===</f>
        <v/>
      </c>
      <c r="B16" t="inlineStr"/>
      <c r="C16" t="inlineStr"/>
      <c r="D16" t="inlineStr"/>
      <c r="E16" t="inlineStr"/>
    </row>
    <row r="17">
      <c r="A17" t="inlineStr">
        <is>
          <t>Dependent Variable (Y)</t>
        </is>
      </c>
      <c r="B17" t="inlineStr">
        <is>
          <t>SNAI1expression</t>
        </is>
      </c>
      <c r="C17" t="inlineStr"/>
      <c r="D17" t="inlineStr"/>
      <c r="E17" t="inlineStr"/>
    </row>
    <row r="18">
      <c r="A18" t="inlineStr">
        <is>
          <t>Model Formula</t>
        </is>
      </c>
      <c r="B18" t="inlineStr">
        <is>
          <t>SNAI1expression ~ age_at_initial_pathologic_diagnosis + C(gender) + number_pack_years_smoked + C(pathologic_T)</t>
        </is>
      </c>
      <c r="C18" t="inlineStr"/>
      <c r="D18" t="inlineStr"/>
      <c r="E18" t="inlineStr"/>
    </row>
    <row r="19">
      <c r="A19" t="inlineStr">
        <is>
          <t>R-squared</t>
        </is>
      </c>
      <c r="B19" t="inlineStr">
        <is>
          <t>0.0384</t>
        </is>
      </c>
      <c r="C19" t="inlineStr"/>
      <c r="D19" t="inlineStr"/>
      <c r="E19" t="inlineStr"/>
    </row>
    <row r="20">
      <c r="A20" t="inlineStr">
        <is>
          <t>Prob (F-statistic)</t>
        </is>
      </c>
      <c r="B20" t="inlineStr">
        <is>
          <t>4.5422e-02</t>
        </is>
      </c>
      <c r="C20" t="inlineStr"/>
      <c r="D20" t="inlineStr"/>
      <c r="E20" t="inlineStr"/>
    </row>
    <row r="21">
      <c r="A21" t="inlineStr">
        <is>
          <t>--- [ Coefficients ] ---</t>
        </is>
      </c>
      <c r="B21" t="inlineStr"/>
      <c r="C21" t="inlineStr"/>
      <c r="D21" t="inlineStr"/>
      <c r="E21" t="inlineStr"/>
    </row>
    <row r="22">
      <c r="A22" t="inlineStr">
        <is>
          <t>Intercept</t>
        </is>
      </c>
      <c r="B22" t="n">
        <v>187.452</v>
      </c>
      <c r="C22" t="n">
        <v>99.2944</v>
      </c>
      <c r="D22" t="n">
        <v>275.6096</v>
      </c>
      <c r="E22" t="inlineStr">
        <is>
          <t>&lt;0.001</t>
        </is>
      </c>
    </row>
    <row r="23">
      <c r="A23" t="inlineStr">
        <is>
          <t>C(gender)[T.MALE]</t>
        </is>
      </c>
      <c r="B23" t="n">
        <v>-15.7038</v>
      </c>
      <c r="C23" t="n">
        <v>-42.731</v>
      </c>
      <c r="D23" t="n">
        <v>11.3234</v>
      </c>
      <c r="E23" t="inlineStr">
        <is>
          <t>0.254</t>
        </is>
      </c>
    </row>
    <row r="24">
      <c r="A24" t="inlineStr">
        <is>
          <t>C(pathologic_T)[T.2.0]</t>
        </is>
      </c>
      <c r="B24" t="n">
        <v>19.4109</v>
      </c>
      <c r="C24" t="n">
        <v>-9.4139</v>
      </c>
      <c r="D24" t="n">
        <v>48.2357</v>
      </c>
      <c r="E24" t="inlineStr">
        <is>
          <t>0.186</t>
        </is>
      </c>
    </row>
    <row r="25">
      <c r="A25" t="inlineStr">
        <is>
          <t>C(pathologic_T)[T.3.0]</t>
        </is>
      </c>
      <c r="B25" t="n">
        <v>70.0634</v>
      </c>
      <c r="C25" t="n">
        <v>21.4459</v>
      </c>
      <c r="D25" t="n">
        <v>118.6808</v>
      </c>
      <c r="E25" t="inlineStr">
        <is>
          <t>0.005</t>
        </is>
      </c>
    </row>
    <row r="26">
      <c r="A26" t="inlineStr">
        <is>
          <t>C(pathologic_T)[T.4.0]</t>
        </is>
      </c>
      <c r="B26" t="n">
        <v>-32.4313</v>
      </c>
      <c r="C26" t="n">
        <v>-101.1557</v>
      </c>
      <c r="D26" t="n">
        <v>36.2931</v>
      </c>
      <c r="E26" t="inlineStr">
        <is>
          <t>0.354</t>
        </is>
      </c>
    </row>
    <row r="27">
      <c r="A27" t="inlineStr">
        <is>
          <t>age_at_initial_pathologic_diagnosis</t>
        </is>
      </c>
      <c r="B27" t="n">
        <v>-0.9963</v>
      </c>
      <c r="C27" t="n">
        <v>-2.2825</v>
      </c>
      <c r="D27" t="n">
        <v>0.2899</v>
      </c>
      <c r="E27" t="inlineStr">
        <is>
          <t>0.129</t>
        </is>
      </c>
    </row>
    <row r="28">
      <c r="A28" t="inlineStr">
        <is>
          <t>number_pack_years_smoked</t>
        </is>
      </c>
      <c r="B28" t="n">
        <v>0.1023</v>
      </c>
      <c r="C28" t="n">
        <v>-0.3819</v>
      </c>
      <c r="D28" t="n">
        <v>0.5864</v>
      </c>
      <c r="E28" t="inlineStr">
        <is>
          <t>0.678</t>
        </is>
      </c>
    </row>
    <row r="29">
      <c r="A29" t="inlineStr"/>
      <c r="B29" t="inlineStr"/>
      <c r="C29" t="inlineStr"/>
      <c r="D29" t="inlineStr"/>
      <c r="E29" t="inlineStr"/>
    </row>
    <row r="30">
      <c r="A30">
        <f>== [ Model: Pathologic N ] ===</f>
        <v/>
      </c>
      <c r="B30" t="inlineStr"/>
      <c r="C30" t="inlineStr"/>
      <c r="D30" t="inlineStr"/>
      <c r="E30" t="inlineStr"/>
    </row>
    <row r="31">
      <c r="A31" t="inlineStr">
        <is>
          <t>Dependent Variable (Y)</t>
        </is>
      </c>
      <c r="B31" t="inlineStr">
        <is>
          <t>SNAI1expression</t>
        </is>
      </c>
      <c r="C31" t="inlineStr"/>
      <c r="D31" t="inlineStr"/>
      <c r="E31" t="inlineStr"/>
    </row>
    <row r="32">
      <c r="A32" t="inlineStr">
        <is>
          <t>Model Formula</t>
        </is>
      </c>
      <c r="B32" t="inlineStr">
        <is>
          <t>SNAI1expression ~ age_at_initial_pathologic_diagnosis + C(gender) + number_pack_years_smoked + C(pathologic_N)</t>
        </is>
      </c>
      <c r="C32" t="inlineStr"/>
      <c r="D32" t="inlineStr"/>
      <c r="E32" t="inlineStr"/>
    </row>
    <row r="33">
      <c r="A33" t="inlineStr">
        <is>
          <t>R-squared</t>
        </is>
      </c>
      <c r="B33" t="inlineStr">
        <is>
          <t>0.0149</t>
        </is>
      </c>
      <c r="C33" t="inlineStr"/>
      <c r="D33" t="inlineStr"/>
      <c r="E33" t="inlineStr"/>
    </row>
    <row r="34">
      <c r="A34" t="inlineStr">
        <is>
          <t>Prob (F-statistic)</t>
        </is>
      </c>
      <c r="B34" t="inlineStr">
        <is>
          <t>5.6184e-01</t>
        </is>
      </c>
      <c r="C34" t="inlineStr"/>
      <c r="D34" t="inlineStr"/>
      <c r="E34" t="inlineStr"/>
    </row>
    <row r="35">
      <c r="A35" t="inlineStr">
        <is>
          <t>--- [ Coefficients ] ---</t>
        </is>
      </c>
      <c r="B35" t="inlineStr"/>
      <c r="C35" t="inlineStr"/>
      <c r="D35" t="inlineStr"/>
      <c r="E35" t="inlineStr"/>
    </row>
    <row r="36">
      <c r="A36" t="inlineStr">
        <is>
          <t>Intercept</t>
        </is>
      </c>
      <c r="B36" t="n">
        <v>194.2783</v>
      </c>
      <c r="C36" t="n">
        <v>104.6248</v>
      </c>
      <c r="D36" t="n">
        <v>283.9318</v>
      </c>
      <c r="E36" t="inlineStr">
        <is>
          <t>&lt;0.001</t>
        </is>
      </c>
    </row>
    <row r="37">
      <c r="A37" t="inlineStr">
        <is>
          <t>C(gender)[T.MALE]</t>
        </is>
      </c>
      <c r="B37" t="n">
        <v>-11.7141</v>
      </c>
      <c r="C37" t="n">
        <v>-39.0731</v>
      </c>
      <c r="D37" t="n">
        <v>15.6449</v>
      </c>
      <c r="E37" t="inlineStr">
        <is>
          <t>0.400</t>
        </is>
      </c>
    </row>
    <row r="38">
      <c r="A38" t="inlineStr">
        <is>
          <t>C(pathologic_N)[T.1.0]</t>
        </is>
      </c>
      <c r="B38" t="n">
        <v>18.5894</v>
      </c>
      <c r="C38" t="n">
        <v>-15.9537</v>
      </c>
      <c r="D38" t="n">
        <v>53.1324</v>
      </c>
      <c r="E38" t="inlineStr">
        <is>
          <t>0.291</t>
        </is>
      </c>
    </row>
    <row r="39">
      <c r="A39" t="inlineStr">
        <is>
          <t>C(pathologic_N)[T.2.0]</t>
        </is>
      </c>
      <c r="B39" t="n">
        <v>21.3815</v>
      </c>
      <c r="C39" t="n">
        <v>-17.2667</v>
      </c>
      <c r="D39" t="n">
        <v>60.0297</v>
      </c>
      <c r="E39" t="inlineStr">
        <is>
          <t>0.277</t>
        </is>
      </c>
    </row>
    <row r="40">
      <c r="A40" t="inlineStr">
        <is>
          <t>C(pathologic_N)[T.3.0]</t>
        </is>
      </c>
      <c r="B40" t="n">
        <v>33.408</v>
      </c>
      <c r="C40" t="n">
        <v>-137.1779</v>
      </c>
      <c r="D40" t="n">
        <v>203.994</v>
      </c>
      <c r="E40" t="inlineStr">
        <is>
          <t>0.700</t>
        </is>
      </c>
    </row>
    <row r="41">
      <c r="A41" t="inlineStr">
        <is>
          <t>age_at_initial_pathologic_diagnosis</t>
        </is>
      </c>
      <c r="B41" t="n">
        <v>-0.9679</v>
      </c>
      <c r="C41" t="n">
        <v>-2.3026</v>
      </c>
      <c r="D41" t="n">
        <v>0.3668</v>
      </c>
      <c r="E41" t="inlineStr">
        <is>
          <t>0.155</t>
        </is>
      </c>
    </row>
    <row r="42">
      <c r="A42" t="inlineStr">
        <is>
          <t>number_pack_years_smoked</t>
        </is>
      </c>
      <c r="B42" t="n">
        <v>0.0558</v>
      </c>
      <c r="C42" t="n">
        <v>-0.4413</v>
      </c>
      <c r="D42" t="n">
        <v>0.5528999999999999</v>
      </c>
      <c r="E42" t="inlineStr">
        <is>
          <t>0.825</t>
        </is>
      </c>
    </row>
    <row r="43">
      <c r="A43" t="inlineStr"/>
      <c r="B43" t="inlineStr"/>
      <c r="C43" t="inlineStr"/>
      <c r="D43" t="inlineStr"/>
      <c r="E43" t="inlineStr"/>
    </row>
    <row r="44">
      <c r="A44">
        <f>== [ Model: Pathologic M ] ===</f>
        <v/>
      </c>
      <c r="B44" t="inlineStr"/>
      <c r="C44" t="inlineStr"/>
      <c r="D44" t="inlineStr"/>
      <c r="E44" t="inlineStr"/>
    </row>
    <row r="45">
      <c r="A45" t="inlineStr">
        <is>
          <t>Dependent Variable (Y)</t>
        </is>
      </c>
      <c r="B45" t="inlineStr">
        <is>
          <t>SNAI1expression</t>
        </is>
      </c>
      <c r="C45" t="inlineStr"/>
      <c r="D45" t="inlineStr"/>
      <c r="E45" t="inlineStr"/>
    </row>
    <row r="46">
      <c r="A46" t="inlineStr">
        <is>
          <t>Model Formula</t>
        </is>
      </c>
      <c r="B46" t="inlineStr">
        <is>
          <t>SNAI1expression ~ age_at_initial_pathologic_diagnosis + C(gender) + number_pack_years_smoked + C(pathologic_M)</t>
        </is>
      </c>
      <c r="C46" t="inlineStr"/>
      <c r="D46" t="inlineStr"/>
      <c r="E46" t="inlineStr"/>
    </row>
    <row r="47">
      <c r="A47" t="inlineStr">
        <is>
          <t>R-squared</t>
        </is>
      </c>
      <c r="B47" t="inlineStr">
        <is>
          <t>0.0068</t>
        </is>
      </c>
      <c r="C47" t="inlineStr"/>
      <c r="D47" t="inlineStr"/>
      <c r="E47" t="inlineStr"/>
    </row>
    <row r="48">
      <c r="A48" t="inlineStr">
        <is>
          <t>Prob (F-statistic)</t>
        </is>
      </c>
      <c r="B48" t="inlineStr">
        <is>
          <t>8.1234e-01</t>
        </is>
      </c>
      <c r="C48" t="inlineStr"/>
      <c r="D48" t="inlineStr"/>
      <c r="E48" t="inlineStr"/>
    </row>
    <row r="49">
      <c r="A49" t="inlineStr">
        <is>
          <t>--- [ Coefficients ] ---</t>
        </is>
      </c>
      <c r="B49" t="inlineStr"/>
      <c r="C49" t="inlineStr"/>
      <c r="D49" t="inlineStr"/>
      <c r="E49" t="inlineStr"/>
    </row>
    <row r="50">
      <c r="A50" t="inlineStr">
        <is>
          <t>Intercept</t>
        </is>
      </c>
      <c r="B50" t="n">
        <v>192.7305</v>
      </c>
      <c r="C50" t="n">
        <v>79.339</v>
      </c>
      <c r="D50" t="n">
        <v>306.1221</v>
      </c>
      <c r="E50" t="inlineStr">
        <is>
          <t>&lt;0.001</t>
        </is>
      </c>
    </row>
    <row r="51">
      <c r="A51" t="inlineStr">
        <is>
          <t>C(gender)[T.MALE]</t>
        </is>
      </c>
      <c r="B51" t="n">
        <v>-14.9859</v>
      </c>
      <c r="C51" t="n">
        <v>-50.1395</v>
      </c>
      <c r="D51" t="n">
        <v>20.1676</v>
      </c>
      <c r="E51" t="inlineStr">
        <is>
          <t>0.402</t>
        </is>
      </c>
    </row>
    <row r="52">
      <c r="A52" t="inlineStr">
        <is>
          <t>C(pathologic_M)[T.1.0]</t>
        </is>
      </c>
      <c r="B52" t="n">
        <v>-0.2192</v>
      </c>
      <c r="C52" t="n">
        <v>-66.9945</v>
      </c>
      <c r="D52" t="n">
        <v>66.556</v>
      </c>
      <c r="E52" t="inlineStr">
        <is>
          <t>0.995</t>
        </is>
      </c>
    </row>
    <row r="53">
      <c r="A53" t="inlineStr">
        <is>
          <t>age_at_initial_pathologic_diagnosis</t>
        </is>
      </c>
      <c r="B53" t="n">
        <v>-0.775</v>
      </c>
      <c r="C53" t="n">
        <v>-2.4832</v>
      </c>
      <c r="D53" t="n">
        <v>0.9332</v>
      </c>
      <c r="E53" t="inlineStr">
        <is>
          <t>0.372</t>
        </is>
      </c>
    </row>
    <row r="54">
      <c r="A54" t="inlineStr">
        <is>
          <t>number_pack_years_smoked</t>
        </is>
      </c>
      <c r="B54" t="n">
        <v>0.1273</v>
      </c>
      <c r="C54" t="n">
        <v>-0.5198</v>
      </c>
      <c r="D54" t="n">
        <v>0.7744</v>
      </c>
      <c r="E54" t="inlineStr">
        <is>
          <t>0.699</t>
        </is>
      </c>
    </row>
    <row r="55">
      <c r="A55" t="inlineStr"/>
      <c r="B55" t="inlineStr"/>
      <c r="C55" t="inlineStr"/>
      <c r="D55" t="inlineStr"/>
      <c r="E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2026-06-22T17:44:43Z</dcterms:created>
  <dcterms:modified xsi:type="dcterms:W3CDTF">2026-06-22T17:44:43Z</dcterms:modified>
</cp:coreProperties>
</file>
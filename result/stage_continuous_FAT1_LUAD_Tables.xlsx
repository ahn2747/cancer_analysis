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 1 (Chi-square)" sheetId="1" state="visible" r:id="rId1"/>
    <sheet name="Table 2 (Correlation)" sheetId="2" state="visible" r:id="rId2"/>
    <sheet name="Table 3 (Cox)" sheetId="3" state="visible" r:id="rId3"/>
    <sheet name="Table 4 (Multivariate OLS)" sheetId="4" state="visible" r:id="rId4"/>
    <sheet name="Table 5 (KM Log-rank)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Characteristics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P-value</t>
        </is>
      </c>
    </row>
    <row r="2">
      <c r="A2" t="inlineStr">
        <is>
          <t>ageG</t>
        </is>
      </c>
      <c r="B2" t="inlineStr"/>
      <c r="C2" t="inlineStr"/>
      <c r="D2" t="inlineStr"/>
    </row>
    <row r="3">
      <c r="A3" t="inlineStr">
        <is>
          <t xml:space="preserve">  0.0</t>
        </is>
      </c>
      <c r="B3" t="n">
        <v>111</v>
      </c>
      <c r="C3" t="n">
        <v>125</v>
      </c>
      <c r="D3" t="inlineStr">
        <is>
          <t>0.206</t>
        </is>
      </c>
    </row>
    <row r="4">
      <c r="A4" t="inlineStr">
        <is>
          <t xml:space="preserve">  1.0</t>
        </is>
      </c>
      <c r="B4" t="n">
        <v>134</v>
      </c>
      <c r="C4" t="n">
        <v>120</v>
      </c>
      <c r="D4" t="inlineStr"/>
    </row>
    <row r="5">
      <c r="A5" t="inlineStr">
        <is>
          <t>gender</t>
        </is>
      </c>
      <c r="B5" t="inlineStr"/>
      <c r="C5" t="inlineStr"/>
      <c r="D5" t="inlineStr"/>
    </row>
    <row r="6">
      <c r="A6" t="inlineStr">
        <is>
          <t xml:space="preserve">  FEMALE</t>
        </is>
      </c>
      <c r="B6" t="n">
        <v>128</v>
      </c>
      <c r="C6" t="n">
        <v>138</v>
      </c>
      <c r="D6" t="inlineStr">
        <is>
          <t>0.364</t>
        </is>
      </c>
    </row>
    <row r="7">
      <c r="A7" t="inlineStr">
        <is>
          <t xml:space="preserve">  MALE</t>
        </is>
      </c>
      <c r="B7" t="n">
        <v>117</v>
      </c>
      <c r="C7" t="n">
        <v>107</v>
      </c>
      <c r="D7" t="inlineStr"/>
    </row>
    <row r="8">
      <c r="A8" t="inlineStr">
        <is>
          <t>pathologic_stage</t>
        </is>
      </c>
      <c r="B8" t="inlineStr"/>
      <c r="C8" t="inlineStr"/>
      <c r="D8" t="inlineStr"/>
    </row>
    <row r="9">
      <c r="A9" t="inlineStr">
        <is>
          <t xml:space="preserve">  1.0</t>
        </is>
      </c>
      <c r="B9" t="n">
        <v>119</v>
      </c>
      <c r="C9" t="n">
        <v>143</v>
      </c>
      <c r="D9" t="inlineStr">
        <is>
          <t>0.072</t>
        </is>
      </c>
    </row>
    <row r="10">
      <c r="A10" t="inlineStr">
        <is>
          <t xml:space="preserve">  2.0</t>
        </is>
      </c>
      <c r="B10" t="n">
        <v>70</v>
      </c>
      <c r="C10" t="n">
        <v>47</v>
      </c>
      <c r="D10" t="inlineStr"/>
    </row>
    <row r="11">
      <c r="A11" t="inlineStr">
        <is>
          <t xml:space="preserve">  3.0</t>
        </is>
      </c>
      <c r="B11" t="n">
        <v>42</v>
      </c>
      <c r="C11" t="n">
        <v>37</v>
      </c>
      <c r="D11" t="inlineStr"/>
    </row>
    <row r="12">
      <c r="A12" t="inlineStr">
        <is>
          <t xml:space="preserve">  4.0</t>
        </is>
      </c>
      <c r="B12" t="n">
        <v>12</v>
      </c>
      <c r="C12" t="n">
        <v>12</v>
      </c>
      <c r="D12" t="inlineStr"/>
    </row>
    <row r="13">
      <c r="A13" t="inlineStr">
        <is>
          <t>pathologic_M</t>
        </is>
      </c>
      <c r="B13" t="inlineStr"/>
      <c r="C13" t="inlineStr"/>
      <c r="D13" t="inlineStr"/>
    </row>
    <row r="14">
      <c r="A14" t="inlineStr">
        <is>
          <t xml:space="preserve">  0.0</t>
        </is>
      </c>
      <c r="B14" t="n">
        <v>163</v>
      </c>
      <c r="C14" t="n">
        <v>159</v>
      </c>
      <c r="D14" t="inlineStr">
        <is>
          <t>0.953</t>
        </is>
      </c>
    </row>
    <row r="15">
      <c r="A15" t="inlineStr">
        <is>
          <t xml:space="preserve">  1.0</t>
        </is>
      </c>
      <c r="B15" t="n">
        <v>12</v>
      </c>
      <c r="C15" t="n">
        <v>12</v>
      </c>
      <c r="D15" t="inlineStr"/>
    </row>
    <row r="16">
      <c r="A16" t="inlineStr">
        <is>
          <t>pathologic_N</t>
        </is>
      </c>
      <c r="B16" t="inlineStr"/>
      <c r="C16" t="inlineStr"/>
      <c r="D16" t="inlineStr"/>
    </row>
    <row r="17">
      <c r="A17" t="inlineStr">
        <is>
          <t xml:space="preserve">  0.0</t>
        </is>
      </c>
      <c r="B17" t="n">
        <v>154</v>
      </c>
      <c r="C17" t="n">
        <v>162</v>
      </c>
      <c r="D17" t="inlineStr">
        <is>
          <t>0.371</t>
        </is>
      </c>
    </row>
    <row r="18">
      <c r="A18" t="inlineStr">
        <is>
          <t xml:space="preserve">  1.0</t>
        </is>
      </c>
      <c r="B18" t="n">
        <v>46</v>
      </c>
      <c r="C18" t="n">
        <v>47</v>
      </c>
      <c r="D18" t="inlineStr"/>
    </row>
    <row r="19">
      <c r="A19" t="inlineStr">
        <is>
          <t xml:space="preserve">  2.0</t>
        </is>
      </c>
      <c r="B19" t="n">
        <v>38</v>
      </c>
      <c r="C19" t="n">
        <v>30</v>
      </c>
      <c r="D19" t="inlineStr"/>
    </row>
    <row r="20">
      <c r="A20" t="inlineStr">
        <is>
          <t xml:space="preserve">  3.0</t>
        </is>
      </c>
      <c r="B20" t="n">
        <v>0</v>
      </c>
      <c r="C20" t="n">
        <v>2</v>
      </c>
      <c r="D20" t="inlineStr"/>
    </row>
    <row r="21">
      <c r="A21" t="inlineStr">
        <is>
          <t>pathologic_T</t>
        </is>
      </c>
      <c r="B21" t="inlineStr"/>
      <c r="C21" t="inlineStr"/>
      <c r="D21" t="inlineStr"/>
    </row>
    <row r="22">
      <c r="A22" t="inlineStr">
        <is>
          <t xml:space="preserve">  1.0</t>
        </is>
      </c>
      <c r="B22" t="n">
        <v>75</v>
      </c>
      <c r="C22" t="n">
        <v>89</v>
      </c>
      <c r="D22" t="inlineStr">
        <is>
          <t>0.276</t>
        </is>
      </c>
    </row>
    <row r="23">
      <c r="A23" t="inlineStr">
        <is>
          <t xml:space="preserve">  2.0</t>
        </is>
      </c>
      <c r="B23" t="n">
        <v>130</v>
      </c>
      <c r="C23" t="n">
        <v>130</v>
      </c>
      <c r="D23" t="inlineStr"/>
    </row>
    <row r="24">
      <c r="A24" t="inlineStr">
        <is>
          <t xml:space="preserve">  3.0</t>
        </is>
      </c>
      <c r="B24" t="n">
        <v>28</v>
      </c>
      <c r="C24" t="n">
        <v>17</v>
      </c>
      <c r="D24" t="inlineStr"/>
    </row>
    <row r="25">
      <c r="A25" t="inlineStr">
        <is>
          <t xml:space="preserve">  4.0</t>
        </is>
      </c>
      <c r="B25" t="n">
        <v>9</v>
      </c>
      <c r="C25" t="n">
        <v>9</v>
      </c>
      <c r="D25" t="inlineStr"/>
    </row>
    <row r="26">
      <c r="A26" t="inlineStr">
        <is>
          <t>SmokingStatus</t>
        </is>
      </c>
      <c r="B26" t="inlineStr"/>
      <c r="C26" t="inlineStr"/>
      <c r="D26" t="inlineStr"/>
    </row>
    <row r="27">
      <c r="A27" t="inlineStr">
        <is>
          <t xml:space="preserve">  0.0</t>
        </is>
      </c>
      <c r="B27" t="n">
        <v>76</v>
      </c>
      <c r="C27" t="n">
        <v>83</v>
      </c>
      <c r="D27" t="inlineStr">
        <is>
          <t>0.500</t>
        </is>
      </c>
    </row>
    <row r="28">
      <c r="A28" t="inlineStr">
        <is>
          <t xml:space="preserve">  1.0</t>
        </is>
      </c>
      <c r="B28" t="n">
        <v>170</v>
      </c>
      <c r="C28" t="n">
        <v>163</v>
      </c>
      <c r="D2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Stat</t>
        </is>
      </c>
      <c r="C1" s="1" t="inlineStr">
        <is>
          <t>FAT1expression</t>
        </is>
      </c>
      <c r="D1" s="1" t="inlineStr">
        <is>
          <t>number_pack_years_smoked</t>
        </is>
      </c>
      <c r="E1" s="1" t="inlineStr">
        <is>
          <t>age_at_initial_pathologic_diagnosis</t>
        </is>
      </c>
      <c r="F1" s="1" t="inlineStr">
        <is>
          <t>KrasExpression</t>
        </is>
      </c>
      <c r="G1" s="1" t="inlineStr">
        <is>
          <t>TP53Expression</t>
        </is>
      </c>
      <c r="H1" s="1" t="inlineStr">
        <is>
          <t>ALKExpression</t>
        </is>
      </c>
      <c r="I1" s="1" t="inlineStr">
        <is>
          <t>BRAFExpression</t>
        </is>
      </c>
      <c r="J1" s="1" t="inlineStr">
        <is>
          <t>EGFR_Mut_Binary</t>
        </is>
      </c>
    </row>
    <row r="2">
      <c r="A2" t="inlineStr">
        <is>
          <t>FAT1expression</t>
        </is>
      </c>
      <c r="B2" t="inlineStr">
        <is>
          <t>R</t>
        </is>
      </c>
      <c r="C2" t="inlineStr">
        <is>
          <t>1</t>
        </is>
      </c>
      <c r="D2" t="inlineStr">
        <is>
          <t>-0.147</t>
        </is>
      </c>
      <c r="E2" t="inlineStr">
        <is>
          <t>0.036</t>
        </is>
      </c>
      <c r="F2" t="inlineStr">
        <is>
          <t>0.141</t>
        </is>
      </c>
      <c r="G2" t="inlineStr">
        <is>
          <t>-0.004</t>
        </is>
      </c>
      <c r="H2" t="inlineStr">
        <is>
          <t>0.017</t>
        </is>
      </c>
      <c r="I2" t="inlineStr">
        <is>
          <t>0.041</t>
        </is>
      </c>
      <c r="J2" t="inlineStr">
        <is>
          <t>-0.120</t>
        </is>
      </c>
    </row>
    <row r="3">
      <c r="A3" t="inlineStr"/>
      <c r="B3" t="inlineStr">
        <is>
          <t>P-value</t>
        </is>
      </c>
      <c r="C3" t="inlineStr"/>
      <c r="D3" t="inlineStr">
        <is>
          <t>0.007</t>
        </is>
      </c>
      <c r="E3" t="inlineStr">
        <is>
          <t>0.422</t>
        </is>
      </c>
      <c r="F3" t="inlineStr">
        <is>
          <t>0.002</t>
        </is>
      </c>
      <c r="G3" t="inlineStr">
        <is>
          <t>0.921</t>
        </is>
      </c>
      <c r="H3" t="inlineStr">
        <is>
          <t>0.700</t>
        </is>
      </c>
      <c r="I3" t="inlineStr">
        <is>
          <t>0.361</t>
        </is>
      </c>
      <c r="J3" t="inlineStr">
        <is>
          <t>0.081</t>
        </is>
      </c>
    </row>
    <row r="4">
      <c r="A4" t="inlineStr">
        <is>
          <t>number_pack_years_smoked</t>
        </is>
      </c>
      <c r="B4" t="inlineStr">
        <is>
          <t>R</t>
        </is>
      </c>
      <c r="C4" t="inlineStr">
        <is>
          <t>-0.147</t>
        </is>
      </c>
      <c r="D4" t="inlineStr">
        <is>
          <t>1</t>
        </is>
      </c>
      <c r="E4" t="inlineStr">
        <is>
          <t>0.074</t>
        </is>
      </c>
      <c r="F4" t="inlineStr">
        <is>
          <t>-0.039</t>
        </is>
      </c>
      <c r="G4" t="inlineStr">
        <is>
          <t>0.046</t>
        </is>
      </c>
      <c r="H4" t="inlineStr">
        <is>
          <t>0.010</t>
        </is>
      </c>
      <c r="I4" t="inlineStr">
        <is>
          <t>-0.016</t>
        </is>
      </c>
      <c r="J4" t="inlineStr">
        <is>
          <t>0.042</t>
        </is>
      </c>
    </row>
    <row r="5">
      <c r="A5" t="inlineStr"/>
      <c r="B5" t="inlineStr">
        <is>
          <t>P-value</t>
        </is>
      </c>
      <c r="C5" t="inlineStr">
        <is>
          <t>0.007</t>
        </is>
      </c>
      <c r="D5" t="inlineStr"/>
      <c r="E5" t="inlineStr">
        <is>
          <t>0.181</t>
        </is>
      </c>
      <c r="F5" t="inlineStr">
        <is>
          <t>0.482</t>
        </is>
      </c>
      <c r="G5" t="inlineStr">
        <is>
          <t>0.408</t>
        </is>
      </c>
      <c r="H5" t="inlineStr">
        <is>
          <t>0.859</t>
        </is>
      </c>
      <c r="I5" t="inlineStr">
        <is>
          <t>0.774</t>
        </is>
      </c>
      <c r="J5" t="inlineStr">
        <is>
          <t>0.611</t>
        </is>
      </c>
    </row>
    <row r="6">
      <c r="A6" t="inlineStr">
        <is>
          <t>age_at_initial_pathologic_diagnosis</t>
        </is>
      </c>
      <c r="B6" t="inlineStr">
        <is>
          <t>R</t>
        </is>
      </c>
      <c r="C6" t="inlineStr">
        <is>
          <t>0.036</t>
        </is>
      </c>
      <c r="D6" t="inlineStr">
        <is>
          <t>0.074</t>
        </is>
      </c>
      <c r="E6" t="inlineStr">
        <is>
          <t>1</t>
        </is>
      </c>
      <c r="F6" t="inlineStr">
        <is>
          <t>-0.022</t>
        </is>
      </c>
      <c r="G6" t="inlineStr">
        <is>
          <t>0.072</t>
        </is>
      </c>
      <c r="H6" t="inlineStr">
        <is>
          <t>-0.048</t>
        </is>
      </c>
      <c r="I6" t="inlineStr">
        <is>
          <t>-0.050</t>
        </is>
      </c>
      <c r="J6" t="inlineStr">
        <is>
          <t>0.012</t>
        </is>
      </c>
    </row>
    <row r="7">
      <c r="A7" t="inlineStr"/>
      <c r="B7" t="inlineStr">
        <is>
          <t>P-value</t>
        </is>
      </c>
      <c r="C7" t="inlineStr">
        <is>
          <t>0.422</t>
        </is>
      </c>
      <c r="D7" t="inlineStr">
        <is>
          <t>0.181</t>
        </is>
      </c>
      <c r="E7" t="inlineStr"/>
      <c r="F7" t="inlineStr">
        <is>
          <t>0.624</t>
        </is>
      </c>
      <c r="G7" t="inlineStr">
        <is>
          <t>0.112</t>
        </is>
      </c>
      <c r="H7" t="inlineStr">
        <is>
          <t>0.291</t>
        </is>
      </c>
      <c r="I7" t="inlineStr">
        <is>
          <t>0.265</t>
        </is>
      </c>
      <c r="J7" t="inlineStr">
        <is>
          <t>0.865</t>
        </is>
      </c>
    </row>
    <row r="8">
      <c r="A8" t="inlineStr">
        <is>
          <t>KrasExpression</t>
        </is>
      </c>
      <c r="B8" t="inlineStr">
        <is>
          <t>R</t>
        </is>
      </c>
      <c r="C8" t="inlineStr">
        <is>
          <t>0.141</t>
        </is>
      </c>
      <c r="D8" t="inlineStr">
        <is>
          <t>-0.039</t>
        </is>
      </c>
      <c r="E8" t="inlineStr">
        <is>
          <t>-0.022</t>
        </is>
      </c>
      <c r="F8" t="inlineStr">
        <is>
          <t>1</t>
        </is>
      </c>
      <c r="G8" t="inlineStr">
        <is>
          <t>-0.057</t>
        </is>
      </c>
      <c r="H8" t="inlineStr">
        <is>
          <t>-0.004</t>
        </is>
      </c>
      <c r="I8" t="inlineStr">
        <is>
          <t>0.080</t>
        </is>
      </c>
      <c r="J8" t="inlineStr">
        <is>
          <t>-0.102</t>
        </is>
      </c>
    </row>
    <row r="9">
      <c r="A9" t="inlineStr"/>
      <c r="B9" t="inlineStr">
        <is>
          <t>P-value</t>
        </is>
      </c>
      <c r="C9" t="inlineStr">
        <is>
          <t>0.002</t>
        </is>
      </c>
      <c r="D9" t="inlineStr">
        <is>
          <t>0.482</t>
        </is>
      </c>
      <c r="E9" t="inlineStr">
        <is>
          <t>0.624</t>
        </is>
      </c>
      <c r="F9" t="inlineStr"/>
      <c r="G9" t="inlineStr">
        <is>
          <t>0.209</t>
        </is>
      </c>
      <c r="H9" t="inlineStr">
        <is>
          <t>0.934</t>
        </is>
      </c>
      <c r="I9" t="inlineStr">
        <is>
          <t>0.078</t>
        </is>
      </c>
      <c r="J9" t="inlineStr">
        <is>
          <t>0.139</t>
        </is>
      </c>
    </row>
    <row r="10">
      <c r="A10" t="inlineStr">
        <is>
          <t>TP53Expression</t>
        </is>
      </c>
      <c r="B10" t="inlineStr">
        <is>
          <t>R</t>
        </is>
      </c>
      <c r="C10" t="inlineStr">
        <is>
          <t>-0.004</t>
        </is>
      </c>
      <c r="D10" t="inlineStr">
        <is>
          <t>0.046</t>
        </is>
      </c>
      <c r="E10" t="inlineStr">
        <is>
          <t>0.072</t>
        </is>
      </c>
      <c r="F10" t="inlineStr">
        <is>
          <t>-0.057</t>
        </is>
      </c>
      <c r="G10" t="inlineStr">
        <is>
          <t>1</t>
        </is>
      </c>
      <c r="H10" t="inlineStr">
        <is>
          <t>0.067</t>
        </is>
      </c>
      <c r="I10" t="inlineStr">
        <is>
          <t>-0.003</t>
        </is>
      </c>
      <c r="J10" t="inlineStr">
        <is>
          <t>0.008</t>
        </is>
      </c>
    </row>
    <row r="11">
      <c r="A11" t="inlineStr"/>
      <c r="B11" t="inlineStr">
        <is>
          <t>P-value</t>
        </is>
      </c>
      <c r="C11" t="inlineStr">
        <is>
          <t>0.921</t>
        </is>
      </c>
      <c r="D11" t="inlineStr">
        <is>
          <t>0.408</t>
        </is>
      </c>
      <c r="E11" t="inlineStr">
        <is>
          <t>0.112</t>
        </is>
      </c>
      <c r="F11" t="inlineStr">
        <is>
          <t>0.209</t>
        </is>
      </c>
      <c r="G11" t="inlineStr"/>
      <c r="H11" t="inlineStr">
        <is>
          <t>0.139</t>
        </is>
      </c>
      <c r="I11" t="inlineStr">
        <is>
          <t>0.940</t>
        </is>
      </c>
      <c r="J11" t="inlineStr">
        <is>
          <t>0.904</t>
        </is>
      </c>
    </row>
    <row r="12">
      <c r="A12" t="inlineStr">
        <is>
          <t>ALKExpression</t>
        </is>
      </c>
      <c r="B12" t="inlineStr">
        <is>
          <t>R</t>
        </is>
      </c>
      <c r="C12" t="inlineStr">
        <is>
          <t>0.017</t>
        </is>
      </c>
      <c r="D12" t="inlineStr">
        <is>
          <t>0.010</t>
        </is>
      </c>
      <c r="E12" t="inlineStr">
        <is>
          <t>-0.048</t>
        </is>
      </c>
      <c r="F12" t="inlineStr">
        <is>
          <t>-0.004</t>
        </is>
      </c>
      <c r="G12" t="inlineStr">
        <is>
          <t>0.067</t>
        </is>
      </c>
      <c r="H12" t="inlineStr">
        <is>
          <t>1</t>
        </is>
      </c>
      <c r="I12" t="inlineStr">
        <is>
          <t>-0.040</t>
        </is>
      </c>
      <c r="J12" t="inlineStr">
        <is>
          <t>-0.050</t>
        </is>
      </c>
    </row>
    <row r="13">
      <c r="A13" t="inlineStr"/>
      <c r="B13" t="inlineStr">
        <is>
          <t>P-value</t>
        </is>
      </c>
      <c r="C13" t="inlineStr">
        <is>
          <t>0.700</t>
        </is>
      </c>
      <c r="D13" t="inlineStr">
        <is>
          <t>0.859</t>
        </is>
      </c>
      <c r="E13" t="inlineStr">
        <is>
          <t>0.291</t>
        </is>
      </c>
      <c r="F13" t="inlineStr">
        <is>
          <t>0.934</t>
        </is>
      </c>
      <c r="G13" t="inlineStr">
        <is>
          <t>0.139</t>
        </is>
      </c>
      <c r="H13" t="inlineStr"/>
      <c r="I13" t="inlineStr">
        <is>
          <t>0.372</t>
        </is>
      </c>
      <c r="J13" t="inlineStr">
        <is>
          <t>0.469</t>
        </is>
      </c>
    </row>
    <row r="14">
      <c r="A14" t="inlineStr">
        <is>
          <t>BRAFExpression</t>
        </is>
      </c>
      <c r="B14" t="inlineStr">
        <is>
          <t>R</t>
        </is>
      </c>
      <c r="C14" t="inlineStr">
        <is>
          <t>0.041</t>
        </is>
      </c>
      <c r="D14" t="inlineStr">
        <is>
          <t>-0.016</t>
        </is>
      </c>
      <c r="E14" t="inlineStr">
        <is>
          <t>-0.050</t>
        </is>
      </c>
      <c r="F14" t="inlineStr">
        <is>
          <t>0.080</t>
        </is>
      </c>
      <c r="G14" t="inlineStr">
        <is>
          <t>-0.003</t>
        </is>
      </c>
      <c r="H14" t="inlineStr">
        <is>
          <t>-0.040</t>
        </is>
      </c>
      <c r="I14" t="inlineStr">
        <is>
          <t>1</t>
        </is>
      </c>
      <c r="J14" t="inlineStr">
        <is>
          <t>0.107</t>
        </is>
      </c>
    </row>
    <row r="15">
      <c r="A15" t="inlineStr"/>
      <c r="B15" t="inlineStr">
        <is>
          <t>P-value</t>
        </is>
      </c>
      <c r="C15" t="inlineStr">
        <is>
          <t>0.361</t>
        </is>
      </c>
      <c r="D15" t="inlineStr">
        <is>
          <t>0.774</t>
        </is>
      </c>
      <c r="E15" t="inlineStr">
        <is>
          <t>0.265</t>
        </is>
      </c>
      <c r="F15" t="inlineStr">
        <is>
          <t>0.078</t>
        </is>
      </c>
      <c r="G15" t="inlineStr">
        <is>
          <t>0.940</t>
        </is>
      </c>
      <c r="H15" t="inlineStr">
        <is>
          <t>0.372</t>
        </is>
      </c>
      <c r="I15" t="inlineStr"/>
      <c r="J15" t="inlineStr">
        <is>
          <t>0.122</t>
        </is>
      </c>
    </row>
    <row r="16">
      <c r="A16" t="inlineStr">
        <is>
          <t>EGFR_Mut_Binary</t>
        </is>
      </c>
      <c r="B16" t="inlineStr">
        <is>
          <t>R</t>
        </is>
      </c>
      <c r="C16" t="inlineStr">
        <is>
          <t>-0.120</t>
        </is>
      </c>
      <c r="D16" t="inlineStr">
        <is>
          <t>0.042</t>
        </is>
      </c>
      <c r="E16" t="inlineStr">
        <is>
          <t>0.012</t>
        </is>
      </c>
      <c r="F16" t="inlineStr">
        <is>
          <t>-0.102</t>
        </is>
      </c>
      <c r="G16" t="inlineStr">
        <is>
          <t>0.008</t>
        </is>
      </c>
      <c r="H16" t="inlineStr">
        <is>
          <t>-0.050</t>
        </is>
      </c>
      <c r="I16" t="inlineStr">
        <is>
          <t>0.107</t>
        </is>
      </c>
      <c r="J16" t="inlineStr">
        <is>
          <t>1</t>
        </is>
      </c>
    </row>
    <row r="17">
      <c r="A17" t="inlineStr"/>
      <c r="B17" t="inlineStr">
        <is>
          <t>P-value</t>
        </is>
      </c>
      <c r="C17" t="inlineStr">
        <is>
          <t>0.081</t>
        </is>
      </c>
      <c r="D17" t="inlineStr">
        <is>
          <t>0.611</t>
        </is>
      </c>
      <c r="E17" t="inlineStr">
        <is>
          <t>0.865</t>
        </is>
      </c>
      <c r="F17" t="inlineStr">
        <is>
          <t>0.139</t>
        </is>
      </c>
      <c r="G17" t="inlineStr">
        <is>
          <t>0.904</t>
        </is>
      </c>
      <c r="H17" t="inlineStr">
        <is>
          <t>0.469</t>
        </is>
      </c>
      <c r="I17" t="inlineStr">
        <is>
          <t>0.122</t>
        </is>
      </c>
      <c r="J17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Clinical Variable</t>
        </is>
      </c>
      <c r="B1" s="1" t="inlineStr">
        <is>
          <t>Hazard Ratio (HR)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 t="inlineStr">
        <is>
          <t>age_at_initial_pathologic_diagnosis</t>
        </is>
      </c>
      <c r="B2" t="n">
        <v>1.007</v>
      </c>
      <c r="C2" t="n">
        <v>0.988</v>
      </c>
      <c r="D2" t="n">
        <v>1.027</v>
      </c>
      <c r="E2" t="inlineStr">
        <is>
          <t>0.462</t>
        </is>
      </c>
    </row>
    <row r="3">
      <c r="A3" t="inlineStr">
        <is>
          <t>number_pack_years_smoked</t>
        </is>
      </c>
      <c r="B3" t="n">
        <v>1.001</v>
      </c>
      <c r="C3" t="n">
        <v>0.993</v>
      </c>
      <c r="D3" t="n">
        <v>1.008</v>
      </c>
      <c r="E3" t="inlineStr">
        <is>
          <t>0.837</t>
        </is>
      </c>
    </row>
    <row r="4">
      <c r="A4" t="inlineStr">
        <is>
          <t>pathologic_stage</t>
        </is>
      </c>
      <c r="B4" t="n">
        <v>1.527</v>
      </c>
      <c r="C4" t="n">
        <v>1.28</v>
      </c>
      <c r="D4" t="n">
        <v>1.823</v>
      </c>
      <c r="E4" t="inlineStr">
        <is>
          <t>&lt;0.001</t>
        </is>
      </c>
    </row>
    <row r="5">
      <c r="A5" t="inlineStr">
        <is>
          <t>FAT1group_Low</t>
        </is>
      </c>
      <c r="B5" t="n">
        <v>0.6820000000000001</v>
      </c>
      <c r="C5" t="n">
        <v>0.465</v>
      </c>
      <c r="D5" t="n">
        <v>1</v>
      </c>
      <c r="E5" t="inlineStr">
        <is>
          <t>0.050</t>
        </is>
      </c>
    </row>
    <row r="6">
      <c r="A6" t="inlineStr">
        <is>
          <t>gender_MALE</t>
        </is>
      </c>
      <c r="B6" t="n">
        <v>1.277</v>
      </c>
      <c r="C6" t="n">
        <v>0.873</v>
      </c>
      <c r="D6" t="n">
        <v>1.868</v>
      </c>
      <c r="E6" t="inlineStr">
        <is>
          <t>0.208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Variable</t>
        </is>
      </c>
      <c r="B1" s="1" t="inlineStr">
        <is>
          <t>Coefficient</t>
        </is>
      </c>
      <c r="C1" s="1" t="inlineStr">
        <is>
          <t>95% CI Lower</t>
        </is>
      </c>
      <c r="D1" s="1" t="inlineStr">
        <is>
          <t>95% CI Upper</t>
        </is>
      </c>
      <c r="E1" s="1" t="inlineStr">
        <is>
          <t>P-value</t>
        </is>
      </c>
    </row>
    <row r="2">
      <c r="A2">
        <f>== [ Model: Base Model (No Stage) ] ===</f>
        <v/>
      </c>
      <c r="B2" t="inlineStr"/>
      <c r="C2" t="inlineStr"/>
      <c r="D2" t="inlineStr"/>
      <c r="E2" t="inlineStr"/>
    </row>
    <row r="3">
      <c r="A3" t="inlineStr">
        <is>
          <t>Dependent Variable (Y)</t>
        </is>
      </c>
      <c r="B3" t="inlineStr">
        <is>
          <t>FAT1expression</t>
        </is>
      </c>
      <c r="C3" t="inlineStr"/>
      <c r="D3" t="inlineStr"/>
      <c r="E3" t="inlineStr"/>
    </row>
    <row r="4">
      <c r="A4" t="inlineStr">
        <is>
          <t>Model Formula</t>
        </is>
      </c>
      <c r="B4" t="inlineStr">
        <is>
          <t>FAT1expression ~ age_at_initial_pathologic_diagnosis + number_pack_years_smoked + C(gender)</t>
        </is>
      </c>
      <c r="C4" t="inlineStr"/>
      <c r="D4" t="inlineStr"/>
      <c r="E4" t="inlineStr"/>
    </row>
    <row r="5">
      <c r="A5" t="inlineStr">
        <is>
          <t>R-squared</t>
        </is>
      </c>
      <c r="B5" t="inlineStr">
        <is>
          <t>0.0375</t>
        </is>
      </c>
      <c r="C5" t="inlineStr"/>
      <c r="D5" t="inlineStr"/>
      <c r="E5" t="inlineStr"/>
    </row>
    <row r="6">
      <c r="A6" t="inlineStr">
        <is>
          <t>Prob (F-statistic)</t>
        </is>
      </c>
      <c r="B6" t="inlineStr">
        <is>
          <t>5.6393e-03</t>
        </is>
      </c>
      <c r="C6" t="inlineStr"/>
      <c r="D6" t="inlineStr"/>
      <c r="E6" t="inlineStr"/>
    </row>
    <row r="7">
      <c r="A7" t="inlineStr">
        <is>
          <t>--- [ Coefficients ] ---</t>
        </is>
      </c>
      <c r="B7" t="inlineStr"/>
      <c r="C7" t="inlineStr"/>
      <c r="D7" t="inlineStr"/>
      <c r="E7" t="inlineStr"/>
    </row>
    <row r="8">
      <c r="A8" t="inlineStr">
        <is>
          <t>Intercept</t>
        </is>
      </c>
      <c r="B8" t="n">
        <v>3148.8843</v>
      </c>
      <c r="C8" t="n">
        <v>569.7424999999999</v>
      </c>
      <c r="D8" t="n">
        <v>5728.0261</v>
      </c>
      <c r="E8" t="inlineStr">
        <is>
          <t>0.017</t>
        </is>
      </c>
    </row>
    <row r="9">
      <c r="A9" t="inlineStr">
        <is>
          <t>C(gender)[T.MALE]</t>
        </is>
      </c>
      <c r="B9" t="n">
        <v>859.5321</v>
      </c>
      <c r="C9" t="n">
        <v>66.7257</v>
      </c>
      <c r="D9" t="n">
        <v>1652.3386</v>
      </c>
      <c r="E9" t="inlineStr">
        <is>
          <t>0.034</t>
        </is>
      </c>
    </row>
    <row r="10">
      <c r="A10" t="inlineStr">
        <is>
          <t>age_at_initial_pathologic_diagnosis</t>
        </is>
      </c>
      <c r="B10" t="n">
        <v>16.1815</v>
      </c>
      <c r="C10" t="n">
        <v>-22.5151</v>
      </c>
      <c r="D10" t="n">
        <v>54.8781</v>
      </c>
      <c r="E10" t="inlineStr">
        <is>
          <t>0.411</t>
        </is>
      </c>
    </row>
    <row r="11">
      <c r="A11" t="inlineStr">
        <is>
          <t>number_pack_years_smoked</t>
        </is>
      </c>
      <c r="B11" t="n">
        <v>-23.3686</v>
      </c>
      <c r="C11" t="n">
        <v>-37.8883</v>
      </c>
      <c r="D11" t="n">
        <v>-8.8489</v>
      </c>
      <c r="E11" t="inlineStr">
        <is>
          <t>0.002</t>
        </is>
      </c>
    </row>
    <row r="12">
      <c r="A12" t="inlineStr"/>
      <c r="B12" t="inlineStr"/>
      <c r="C12" t="inlineStr"/>
      <c r="D12" t="inlineStr"/>
      <c r="E12" t="inlineStr"/>
    </row>
    <row r="13">
      <c r="A13">
        <f>== [ Model: Base + Pathologic Stage ] ===</f>
        <v/>
      </c>
      <c r="B13" t="inlineStr"/>
      <c r="C13" t="inlineStr"/>
      <c r="D13" t="inlineStr"/>
      <c r="E13" t="inlineStr"/>
    </row>
    <row r="14">
      <c r="A14" t="inlineStr">
        <is>
          <t>Dependent Variable (Y)</t>
        </is>
      </c>
      <c r="B14" t="inlineStr">
        <is>
          <t>FAT1expression</t>
        </is>
      </c>
      <c r="C14" t="inlineStr"/>
      <c r="D14" t="inlineStr"/>
      <c r="E14" t="inlineStr"/>
    </row>
    <row r="15">
      <c r="A15" t="inlineStr">
        <is>
          <t>Model Formula</t>
        </is>
      </c>
      <c r="B15" t="inlineStr">
        <is>
          <t>FAT1expression ~ age_at_initial_pathologic_diagnosis + number_pack_years_smoked + C(gender) + C(pathologic_stage)</t>
        </is>
      </c>
      <c r="C15" t="inlineStr"/>
      <c r="D15" t="inlineStr"/>
      <c r="E15" t="inlineStr"/>
    </row>
    <row r="16">
      <c r="A16" t="inlineStr">
        <is>
          <t>R-squared</t>
        </is>
      </c>
      <c r="B16" t="inlineStr">
        <is>
          <t>0.0385</t>
        </is>
      </c>
      <c r="C16" t="inlineStr"/>
      <c r="D16" t="inlineStr"/>
      <c r="E16" t="inlineStr"/>
    </row>
    <row r="17">
      <c r="A17" t="inlineStr">
        <is>
          <t>Prob (F-statistic)</t>
        </is>
      </c>
      <c r="B17" t="inlineStr">
        <is>
          <t>4.7016e-02</t>
        </is>
      </c>
      <c r="C17" t="inlineStr"/>
      <c r="D17" t="inlineStr"/>
      <c r="E17" t="inlineStr"/>
    </row>
    <row r="18">
      <c r="A18" t="inlineStr">
        <is>
          <t>--- [ Coefficients ] ---</t>
        </is>
      </c>
      <c r="B18" t="inlineStr"/>
      <c r="C18" t="inlineStr"/>
      <c r="D18" t="inlineStr"/>
      <c r="E18" t="inlineStr"/>
    </row>
    <row r="19">
      <c r="A19" t="inlineStr">
        <is>
          <t>Intercept</t>
        </is>
      </c>
      <c r="B19" t="n">
        <v>3213.3559</v>
      </c>
      <c r="C19" t="n">
        <v>533.4832</v>
      </c>
      <c r="D19" t="n">
        <v>5893.2287</v>
      </c>
      <c r="E19" t="inlineStr">
        <is>
          <t>0.019</t>
        </is>
      </c>
    </row>
    <row r="20">
      <c r="A20" t="inlineStr">
        <is>
          <t>C(gender)[T.MALE]</t>
        </is>
      </c>
      <c r="B20" t="n">
        <v>886.8878</v>
      </c>
      <c r="C20" t="n">
        <v>70.8257</v>
      </c>
      <c r="D20" t="n">
        <v>1702.9499</v>
      </c>
      <c r="E20" t="inlineStr">
        <is>
          <t>0.033</t>
        </is>
      </c>
    </row>
    <row r="21">
      <c r="A21" t="inlineStr">
        <is>
          <t>C(pathologic_stage)[T.2.0]</t>
        </is>
      </c>
      <c r="B21" t="n">
        <v>-112.9298</v>
      </c>
      <c r="C21" t="n">
        <v>-1093.5304</v>
      </c>
      <c r="D21" t="n">
        <v>867.6707</v>
      </c>
      <c r="E21" t="inlineStr">
        <is>
          <t>0.821</t>
        </is>
      </c>
    </row>
    <row r="22">
      <c r="A22" t="inlineStr">
        <is>
          <t>C(pathologic_stage)[T.3.0]</t>
        </is>
      </c>
      <c r="B22" t="n">
        <v>37.6648</v>
      </c>
      <c r="C22" t="n">
        <v>-1055.287</v>
      </c>
      <c r="D22" t="n">
        <v>1130.6167</v>
      </c>
      <c r="E22" t="inlineStr">
        <is>
          <t>0.946</t>
        </is>
      </c>
    </row>
    <row r="23">
      <c r="A23" t="inlineStr">
        <is>
          <t>C(pathologic_stage)[T.4.0]</t>
        </is>
      </c>
      <c r="B23" t="n">
        <v>-408.9821</v>
      </c>
      <c r="C23" t="n">
        <v>-2231.0299</v>
      </c>
      <c r="D23" t="n">
        <v>1413.0656</v>
      </c>
      <c r="E23" t="inlineStr">
        <is>
          <t>0.659</t>
        </is>
      </c>
    </row>
    <row r="24">
      <c r="A24" t="inlineStr">
        <is>
          <t>age_at_initial_pathologic_diagnosis</t>
        </is>
      </c>
      <c r="B24" t="n">
        <v>15.8679</v>
      </c>
      <c r="C24" t="n">
        <v>-23.7265</v>
      </c>
      <c r="D24" t="n">
        <v>55.4623</v>
      </c>
      <c r="E24" t="inlineStr">
        <is>
          <t>0.431</t>
        </is>
      </c>
    </row>
    <row r="25">
      <c r="A25" t="inlineStr">
        <is>
          <t>number_pack_years_smoked</t>
        </is>
      </c>
      <c r="B25" t="n">
        <v>-23.4948</v>
      </c>
      <c r="C25" t="n">
        <v>-38.2683</v>
      </c>
      <c r="D25" t="n">
        <v>-8.7212</v>
      </c>
      <c r="E25" t="inlineStr">
        <is>
          <t>0.002</t>
        </is>
      </c>
    </row>
    <row r="26">
      <c r="A26" t="inlineStr"/>
      <c r="B26" t="inlineStr"/>
      <c r="C26" t="inlineStr"/>
      <c r="D26" t="inlineStr"/>
      <c r="E26" t="inlineStr"/>
    </row>
    <row r="27">
      <c r="A27">
        <f>== [ Model: Base + Pathologic T ] ===</f>
        <v/>
      </c>
      <c r="B27" t="inlineStr"/>
      <c r="C27" t="inlineStr"/>
      <c r="D27" t="inlineStr"/>
      <c r="E27" t="inlineStr"/>
    </row>
    <row r="28">
      <c r="A28" t="inlineStr">
        <is>
          <t>Dependent Variable (Y)</t>
        </is>
      </c>
      <c r="B28" t="inlineStr">
        <is>
          <t>FAT1expression</t>
        </is>
      </c>
      <c r="C28" t="inlineStr"/>
      <c r="D28" t="inlineStr"/>
      <c r="E28" t="inlineStr"/>
    </row>
    <row r="29">
      <c r="A29" t="inlineStr">
        <is>
          <t>Model Formula</t>
        </is>
      </c>
      <c r="B29" t="inlineStr">
        <is>
          <t>FAT1expression ~ age_at_initial_pathologic_diagnosis + number_pack_years_smoked + C(gender) + C(pathologic_T)</t>
        </is>
      </c>
      <c r="C29" t="inlineStr"/>
      <c r="D29" t="inlineStr"/>
      <c r="E29" t="inlineStr"/>
    </row>
    <row r="30">
      <c r="A30" t="inlineStr">
        <is>
          <t>R-squared</t>
        </is>
      </c>
      <c r="B30" t="inlineStr">
        <is>
          <t>0.0501</t>
        </is>
      </c>
      <c r="C30" t="inlineStr"/>
      <c r="D30" t="inlineStr"/>
      <c r="E30" t="inlineStr"/>
    </row>
    <row r="31">
      <c r="A31" t="inlineStr">
        <is>
          <t>Prob (F-statistic)</t>
        </is>
      </c>
      <c r="B31" t="inlineStr">
        <is>
          <t>9.8815e-03</t>
        </is>
      </c>
      <c r="C31" t="inlineStr"/>
      <c r="D31" t="inlineStr"/>
      <c r="E31" t="inlineStr"/>
    </row>
    <row r="32">
      <c r="A32" t="inlineStr">
        <is>
          <t>--- [ Coefficients ] ---</t>
        </is>
      </c>
      <c r="B32" t="inlineStr"/>
      <c r="C32" t="inlineStr"/>
      <c r="D32" t="inlineStr"/>
      <c r="E32" t="inlineStr"/>
    </row>
    <row r="33">
      <c r="A33" t="inlineStr">
        <is>
          <t>Intercept</t>
        </is>
      </c>
      <c r="B33" t="n">
        <v>2572.5561</v>
      </c>
      <c r="C33" t="n">
        <v>-81.739</v>
      </c>
      <c r="D33" t="n">
        <v>5226.8512</v>
      </c>
      <c r="E33" t="inlineStr">
        <is>
          <t>0.057</t>
        </is>
      </c>
    </row>
    <row r="34">
      <c r="A34" t="inlineStr">
        <is>
          <t>C(gender)[T.MALE]</t>
        </is>
      </c>
      <c r="B34" t="n">
        <v>674.9836</v>
      </c>
      <c r="C34" t="n">
        <v>-138.7654</v>
      </c>
      <c r="D34" t="n">
        <v>1488.7327</v>
      </c>
      <c r="E34" t="inlineStr">
        <is>
          <t>0.104</t>
        </is>
      </c>
    </row>
    <row r="35">
      <c r="A35" t="inlineStr">
        <is>
          <t>C(pathologic_T)[T.2.0]</t>
        </is>
      </c>
      <c r="B35" t="n">
        <v>670.7535</v>
      </c>
      <c r="C35" t="n">
        <v>-197.1179</v>
      </c>
      <c r="D35" t="n">
        <v>1538.6248</v>
      </c>
      <c r="E35" t="inlineStr">
        <is>
          <t>0.129</t>
        </is>
      </c>
    </row>
    <row r="36">
      <c r="A36" t="inlineStr">
        <is>
          <t>C(pathologic_T)[T.3.0]</t>
        </is>
      </c>
      <c r="B36" t="n">
        <v>1394.003</v>
      </c>
      <c r="C36" t="n">
        <v>-69.7958</v>
      </c>
      <c r="D36" t="n">
        <v>2857.8017</v>
      </c>
      <c r="E36" t="inlineStr">
        <is>
          <t>0.062</t>
        </is>
      </c>
    </row>
    <row r="37">
      <c r="A37" t="inlineStr">
        <is>
          <t>C(pathologic_T)[T.4.0]</t>
        </is>
      </c>
      <c r="B37" t="n">
        <v>702.5762999999999</v>
      </c>
      <c r="C37" t="n">
        <v>-1366.6138</v>
      </c>
      <c r="D37" t="n">
        <v>2771.7664</v>
      </c>
      <c r="E37" t="inlineStr">
        <is>
          <t>0.505</t>
        </is>
      </c>
    </row>
    <row r="38">
      <c r="A38" t="inlineStr">
        <is>
          <t>age_at_initial_pathologic_diagnosis</t>
        </is>
      </c>
      <c r="B38" t="n">
        <v>17.8058</v>
      </c>
      <c r="C38" t="n">
        <v>-20.9207</v>
      </c>
      <c r="D38" t="n">
        <v>56.5323</v>
      </c>
      <c r="E38" t="inlineStr">
        <is>
          <t>0.366</t>
        </is>
      </c>
    </row>
    <row r="39">
      <c r="A39" t="inlineStr">
        <is>
          <t>number_pack_years_smoked</t>
        </is>
      </c>
      <c r="B39" t="n">
        <v>-22.1833</v>
      </c>
      <c r="C39" t="n">
        <v>-36.7615</v>
      </c>
      <c r="D39" t="n">
        <v>-7.6052</v>
      </c>
      <c r="E39" t="inlineStr">
        <is>
          <t>0.003</t>
        </is>
      </c>
    </row>
    <row r="40">
      <c r="A40" t="inlineStr"/>
      <c r="B40" t="inlineStr"/>
      <c r="C40" t="inlineStr"/>
      <c r="D40" t="inlineStr"/>
      <c r="E40" t="inlineStr"/>
    </row>
    <row r="41">
      <c r="A41">
        <f>== [ Model: Base + Pathologic N ] ===</f>
        <v/>
      </c>
      <c r="B41" t="inlineStr"/>
      <c r="C41" t="inlineStr"/>
      <c r="D41" t="inlineStr"/>
      <c r="E41" t="inlineStr"/>
    </row>
    <row r="42">
      <c r="A42" t="inlineStr">
        <is>
          <t>Dependent Variable (Y)</t>
        </is>
      </c>
      <c r="B42" t="inlineStr">
        <is>
          <t>FAT1expression</t>
        </is>
      </c>
      <c r="C42" t="inlineStr"/>
      <c r="D42" t="inlineStr"/>
      <c r="E42" t="inlineStr"/>
    </row>
    <row r="43">
      <c r="A43" t="inlineStr">
        <is>
          <t>Model Formula</t>
        </is>
      </c>
      <c r="B43" t="inlineStr">
        <is>
          <t>FAT1expression ~ age_at_initial_pathologic_diagnosis + number_pack_years_smoked + C(gender) + C(pathologic_N)</t>
        </is>
      </c>
      <c r="C43" t="inlineStr"/>
      <c r="D43" t="inlineStr"/>
      <c r="E43" t="inlineStr"/>
    </row>
    <row r="44">
      <c r="A44" t="inlineStr">
        <is>
          <t>R-squared</t>
        </is>
      </c>
      <c r="B44" t="inlineStr">
        <is>
          <t>0.0404</t>
        </is>
      </c>
      <c r="C44" t="inlineStr"/>
      <c r="D44" t="inlineStr"/>
      <c r="E44" t="inlineStr"/>
    </row>
    <row r="45">
      <c r="A45" t="inlineStr">
        <is>
          <t>Prob (F-statistic)</t>
        </is>
      </c>
      <c r="B45" t="inlineStr">
        <is>
          <t>3.8266e-02</t>
        </is>
      </c>
      <c r="C45" t="inlineStr"/>
      <c r="D45" t="inlineStr"/>
      <c r="E45" t="inlineStr"/>
    </row>
    <row r="46">
      <c r="A46" t="inlineStr">
        <is>
          <t>--- [ Coefficients ] ---</t>
        </is>
      </c>
      <c r="B46" t="inlineStr"/>
      <c r="C46" t="inlineStr"/>
      <c r="D46" t="inlineStr"/>
      <c r="E46" t="inlineStr"/>
    </row>
    <row r="47">
      <c r="A47" t="inlineStr">
        <is>
          <t>Intercept</t>
        </is>
      </c>
      <c r="B47" t="n">
        <v>3288.1598</v>
      </c>
      <c r="C47" t="n">
        <v>607.0418</v>
      </c>
      <c r="D47" t="n">
        <v>5969.2778</v>
      </c>
      <c r="E47" t="inlineStr">
        <is>
          <t>0.016</t>
        </is>
      </c>
    </row>
    <row r="48">
      <c r="A48" t="inlineStr">
        <is>
          <t>C(gender)[T.MALE]</t>
        </is>
      </c>
      <c r="B48" t="n">
        <v>895.779</v>
      </c>
      <c r="C48" t="n">
        <v>77.5986</v>
      </c>
      <c r="D48" t="n">
        <v>1713.9594</v>
      </c>
      <c r="E48" t="inlineStr">
        <is>
          <t>0.032</t>
        </is>
      </c>
    </row>
    <row r="49">
      <c r="A49" t="inlineStr">
        <is>
          <t>C(pathologic_N)[T.1.0]</t>
        </is>
      </c>
      <c r="B49" t="n">
        <v>-425.1005</v>
      </c>
      <c r="C49" t="n">
        <v>-1458.1212</v>
      </c>
      <c r="D49" t="n">
        <v>607.9203</v>
      </c>
      <c r="E49" t="inlineStr">
        <is>
          <t>0.419</t>
        </is>
      </c>
    </row>
    <row r="50">
      <c r="A50" t="inlineStr">
        <is>
          <t>C(pathologic_N)[T.2.0]</t>
        </is>
      </c>
      <c r="B50" t="n">
        <v>-112.3911</v>
      </c>
      <c r="C50" t="n">
        <v>-1268.1791</v>
      </c>
      <c r="D50" t="n">
        <v>1043.3968</v>
      </c>
      <c r="E50" t="inlineStr">
        <is>
          <t>0.848</t>
        </is>
      </c>
    </row>
    <row r="51">
      <c r="A51" t="inlineStr">
        <is>
          <t>C(pathologic_N)[T.3.0]</t>
        </is>
      </c>
      <c r="B51" t="n">
        <v>-885.6362</v>
      </c>
      <c r="C51" t="n">
        <v>-5987.0654</v>
      </c>
      <c r="D51" t="n">
        <v>4215.7929</v>
      </c>
      <c r="E51" t="inlineStr">
        <is>
          <t>0.733</t>
        </is>
      </c>
    </row>
    <row r="52">
      <c r="A52" t="inlineStr">
        <is>
          <t>age_at_initial_pathologic_diagnosis</t>
        </is>
      </c>
      <c r="B52" t="n">
        <v>15.8961</v>
      </c>
      <c r="C52" t="n">
        <v>-24.0188</v>
      </c>
      <c r="D52" t="n">
        <v>55.811</v>
      </c>
      <c r="E52" t="inlineStr">
        <is>
          <t>0.434</t>
        </is>
      </c>
    </row>
    <row r="53">
      <c r="A53" t="inlineStr">
        <is>
          <t>number_pack_years_smoked</t>
        </is>
      </c>
      <c r="B53" t="n">
        <v>-23.8813</v>
      </c>
      <c r="C53" t="n">
        <v>-38.7465</v>
      </c>
      <c r="D53" t="n">
        <v>-9.0161</v>
      </c>
      <c r="E53" t="inlineStr">
        <is>
          <t>0.002</t>
        </is>
      </c>
    </row>
    <row r="54">
      <c r="A54" t="inlineStr"/>
      <c r="B54" t="inlineStr"/>
      <c r="C54" t="inlineStr"/>
      <c r="D54" t="inlineStr"/>
      <c r="E54" t="inlineStr"/>
    </row>
    <row r="55">
      <c r="A55">
        <f>== [ Model: Base + Pathologic M ] ===</f>
        <v/>
      </c>
      <c r="B55" t="inlineStr"/>
      <c r="C55" t="inlineStr"/>
      <c r="D55" t="inlineStr"/>
      <c r="E55" t="inlineStr"/>
    </row>
    <row r="56">
      <c r="A56" t="inlineStr">
        <is>
          <t>Dependent Variable (Y)</t>
        </is>
      </c>
      <c r="B56" t="inlineStr">
        <is>
          <t>FAT1expression</t>
        </is>
      </c>
      <c r="C56" t="inlineStr"/>
      <c r="D56" t="inlineStr"/>
      <c r="E56" t="inlineStr"/>
    </row>
    <row r="57">
      <c r="A57" t="inlineStr">
        <is>
          <t>Model Formula</t>
        </is>
      </c>
      <c r="B57" t="inlineStr">
        <is>
          <t>FAT1expression ~ age_at_initial_pathologic_diagnosis + number_pack_years_smoked + C(gender) + C(pathologic_M)</t>
        </is>
      </c>
      <c r="C57" t="inlineStr"/>
      <c r="D57" t="inlineStr"/>
      <c r="E57" t="inlineStr"/>
    </row>
    <row r="58">
      <c r="A58" t="inlineStr">
        <is>
          <t>R-squared</t>
        </is>
      </c>
      <c r="B58" t="inlineStr">
        <is>
          <t>0.0607</t>
        </is>
      </c>
      <c r="C58" t="inlineStr"/>
      <c r="D58" t="inlineStr"/>
      <c r="E58" t="inlineStr"/>
    </row>
    <row r="59">
      <c r="A59" t="inlineStr">
        <is>
          <t>Prob (F-statistic)</t>
        </is>
      </c>
      <c r="B59" t="inlineStr">
        <is>
          <t>5.7688e-03</t>
        </is>
      </c>
      <c r="C59" t="inlineStr"/>
      <c r="D59" t="inlineStr"/>
      <c r="E59" t="inlineStr"/>
    </row>
    <row r="60">
      <c r="A60" t="inlineStr">
        <is>
          <t>--- [ Coefficients ] ---</t>
        </is>
      </c>
      <c r="B60" t="inlineStr"/>
      <c r="C60" t="inlineStr"/>
      <c r="D60" t="inlineStr"/>
      <c r="E60" t="inlineStr"/>
    </row>
    <row r="61">
      <c r="A61" t="inlineStr">
        <is>
          <t>Intercept</t>
        </is>
      </c>
      <c r="B61" t="n">
        <v>3285.9792</v>
      </c>
      <c r="C61" t="n">
        <v>1182.901</v>
      </c>
      <c r="D61" t="n">
        <v>5389.0574</v>
      </c>
      <c r="E61" t="inlineStr">
        <is>
          <t>0.002</t>
        </is>
      </c>
    </row>
    <row r="62">
      <c r="A62" t="inlineStr">
        <is>
          <t>C(gender)[T.MALE]</t>
        </is>
      </c>
      <c r="B62" t="n">
        <v>690.6038</v>
      </c>
      <c r="C62" t="n">
        <v>38.6094</v>
      </c>
      <c r="D62" t="n">
        <v>1342.5981</v>
      </c>
      <c r="E62" t="inlineStr">
        <is>
          <t>0.038</t>
        </is>
      </c>
    </row>
    <row r="63">
      <c r="A63" t="inlineStr">
        <is>
          <t>C(pathologic_M)[T.1.0]</t>
        </is>
      </c>
      <c r="B63" t="n">
        <v>-232.9108</v>
      </c>
      <c r="C63" t="n">
        <v>-1471.3941</v>
      </c>
      <c r="D63" t="n">
        <v>1005.5724</v>
      </c>
      <c r="E63" t="inlineStr">
        <is>
          <t>0.711</t>
        </is>
      </c>
    </row>
    <row r="64">
      <c r="A64" t="inlineStr">
        <is>
          <t>age_at_initial_pathologic_diagnosis</t>
        </is>
      </c>
      <c r="B64" t="n">
        <v>12.1123</v>
      </c>
      <c r="C64" t="n">
        <v>-19.5696</v>
      </c>
      <c r="D64" t="n">
        <v>43.7942</v>
      </c>
      <c r="E64" t="inlineStr">
        <is>
          <t>0.452</t>
        </is>
      </c>
    </row>
    <row r="65">
      <c r="A65" t="inlineStr">
        <is>
          <t>number_pack_years_smoked</t>
        </is>
      </c>
      <c r="B65" t="n">
        <v>-21.4915</v>
      </c>
      <c r="C65" t="n">
        <v>-33.4927</v>
      </c>
      <c r="D65" t="n">
        <v>-9.4903</v>
      </c>
      <c r="E65" t="inlineStr">
        <is>
          <t>&lt;0.001</t>
        </is>
      </c>
    </row>
    <row r="66">
      <c r="A66" t="inlineStr"/>
      <c r="B66" t="inlineStr"/>
      <c r="C66" t="inlineStr"/>
      <c r="D66" t="inlineStr"/>
      <c r="E6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Survival Type</t>
        </is>
      </c>
      <c r="B1" s="1" t="inlineStr">
        <is>
          <t>Cancer Type</t>
        </is>
      </c>
      <c r="C1" s="1" t="inlineStr">
        <is>
          <t>Target</t>
        </is>
      </c>
      <c r="D1" s="1" t="inlineStr">
        <is>
          <t>Chi-square</t>
        </is>
      </c>
      <c r="E1" s="1" t="inlineStr">
        <is>
          <t>P-value</t>
        </is>
      </c>
    </row>
    <row r="2">
      <c r="A2" t="inlineStr">
        <is>
          <t>Overall Survival (OS)</t>
        </is>
      </c>
      <c r="B2" t="inlineStr">
        <is>
          <t>LUAD</t>
        </is>
      </c>
      <c r="C2" t="inlineStr">
        <is>
          <t>FAT1</t>
        </is>
      </c>
      <c r="D2" t="inlineStr">
        <is>
          <t>7.572</t>
        </is>
      </c>
      <c r="E2" t="inlineStr">
        <is>
          <t>0.006</t>
        </is>
      </c>
    </row>
    <row r="3">
      <c r="A3" t="inlineStr">
        <is>
          <t>Relapse-Free Survival (RFS)</t>
        </is>
      </c>
      <c r="B3" t="inlineStr">
        <is>
          <t>LUAD</t>
        </is>
      </c>
      <c r="C3" t="inlineStr">
        <is>
          <t>FAT1</t>
        </is>
      </c>
      <c r="D3" t="inlineStr">
        <is>
          <t>1.610</t>
        </is>
      </c>
      <c r="E3" t="inlineStr">
        <is>
          <t>0.204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2026-06-30T07:54:30Z</dcterms:created>
  <dcterms:modified xsi:type="dcterms:W3CDTF">2026-06-30T07:54:30Z</dcterms:modified>
</cp:coreProperties>
</file>
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1</v>
      </c>
      <c r="C3" t="n">
        <v>109</v>
      </c>
      <c r="D3" t="n">
        <v>79</v>
      </c>
      <c r="E3" t="inlineStr">
        <is>
          <t>0.008</t>
        </is>
      </c>
    </row>
    <row r="4">
      <c r="A4" t="inlineStr">
        <is>
          <t xml:space="preserve">  1.0</t>
        </is>
      </c>
      <c r="B4" t="n">
        <v>0</v>
      </c>
      <c r="C4" t="n">
        <v>134</v>
      </c>
      <c r="D4" t="n">
        <v>165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0</v>
      </c>
      <c r="C6" t="n">
        <v>53</v>
      </c>
      <c r="D6" t="n">
        <v>73</v>
      </c>
      <c r="E6" t="inlineStr">
        <is>
          <t>0.104</t>
        </is>
      </c>
    </row>
    <row r="7">
      <c r="A7" t="inlineStr">
        <is>
          <t xml:space="preserve">  MALE</t>
        </is>
      </c>
      <c r="B7" t="n">
        <v>1</v>
      </c>
      <c r="C7" t="n">
        <v>190</v>
      </c>
      <c r="D7" t="n">
        <v>171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1</v>
      </c>
      <c r="C9" t="n">
        <v>103</v>
      </c>
      <c r="D9" t="n">
        <v>134</v>
      </c>
      <c r="E9" t="inlineStr">
        <is>
          <t>0.061</t>
        </is>
      </c>
    </row>
    <row r="10">
      <c r="A10" t="inlineStr">
        <is>
          <t xml:space="preserve">  2.0</t>
        </is>
      </c>
      <c r="B10" t="n">
        <v>0</v>
      </c>
      <c r="C10" t="n">
        <v>82</v>
      </c>
      <c r="D10" t="n">
        <v>74</v>
      </c>
      <c r="E10" t="inlineStr"/>
    </row>
    <row r="11">
      <c r="A11" t="inlineStr">
        <is>
          <t xml:space="preserve">  3.0</t>
        </is>
      </c>
      <c r="B11" t="n">
        <v>0</v>
      </c>
      <c r="C11" t="n">
        <v>53</v>
      </c>
      <c r="D11" t="n">
        <v>30</v>
      </c>
      <c r="E11" t="inlineStr"/>
    </row>
    <row r="12">
      <c r="A12" t="inlineStr">
        <is>
          <t xml:space="preserve">  4.0</t>
        </is>
      </c>
      <c r="B12" t="n">
        <v>0</v>
      </c>
      <c r="C12" t="n">
        <v>3</v>
      </c>
      <c r="D12" t="n">
        <v>4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1</v>
      </c>
      <c r="C14" t="n">
        <v>201</v>
      </c>
      <c r="D14" t="n">
        <v>199</v>
      </c>
      <c r="E14" t="inlineStr">
        <is>
          <t>0.919</t>
        </is>
      </c>
    </row>
    <row r="15">
      <c r="A15" t="inlineStr">
        <is>
          <t xml:space="preserve">  1.0</t>
        </is>
      </c>
      <c r="B15" t="n">
        <v>0</v>
      </c>
      <c r="C15" t="n">
        <v>3</v>
      </c>
      <c r="D15" t="n">
        <v>4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1</v>
      </c>
      <c r="C17" t="n">
        <v>142</v>
      </c>
      <c r="D17" t="n">
        <v>168</v>
      </c>
      <c r="E17" t="inlineStr">
        <is>
          <t>0.231</t>
        </is>
      </c>
    </row>
    <row r="18">
      <c r="A18" t="inlineStr">
        <is>
          <t xml:space="preserve">  1.0</t>
        </is>
      </c>
      <c r="B18" t="n">
        <v>0</v>
      </c>
      <c r="C18" t="n">
        <v>70</v>
      </c>
      <c r="D18" t="n">
        <v>56</v>
      </c>
      <c r="E18" t="inlineStr"/>
    </row>
    <row r="19">
      <c r="A19" t="inlineStr">
        <is>
          <t xml:space="preserve">  2.0</t>
        </is>
      </c>
      <c r="B19" t="n">
        <v>0</v>
      </c>
      <c r="C19" t="n">
        <v>26</v>
      </c>
      <c r="D19" t="n">
        <v>14</v>
      </c>
      <c r="E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n">
        <v>3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1</v>
      </c>
      <c r="C22" t="n">
        <v>42</v>
      </c>
      <c r="D22" t="n">
        <v>66</v>
      </c>
      <c r="E22" t="inlineStr">
        <is>
          <t>0.077</t>
        </is>
      </c>
    </row>
    <row r="23">
      <c r="A23" t="inlineStr">
        <is>
          <t xml:space="preserve">  2.0</t>
        </is>
      </c>
      <c r="B23" t="n">
        <v>0</v>
      </c>
      <c r="C23" t="n">
        <v>149</v>
      </c>
      <c r="D23" t="n">
        <v>137</v>
      </c>
      <c r="E23" t="inlineStr"/>
    </row>
    <row r="24">
      <c r="A24" t="inlineStr">
        <is>
          <t xml:space="preserve">  3.0</t>
        </is>
      </c>
      <c r="B24" t="n">
        <v>0</v>
      </c>
      <c r="C24" t="n">
        <v>41</v>
      </c>
      <c r="D24" t="n">
        <v>29</v>
      </c>
      <c r="E24" t="inlineStr"/>
    </row>
    <row r="25">
      <c r="A25" t="inlineStr">
        <is>
          <t xml:space="preserve">  4.0</t>
        </is>
      </c>
      <c r="B25" t="n">
        <v>0</v>
      </c>
      <c r="C25" t="n">
        <v>11</v>
      </c>
      <c r="D25" t="n">
        <v>12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0</v>
      </c>
      <c r="C27" t="n">
        <v>39</v>
      </c>
      <c r="D27" t="n">
        <v>37</v>
      </c>
      <c r="E27" t="inlineStr">
        <is>
          <t>0.884</t>
        </is>
      </c>
    </row>
    <row r="28">
      <c r="A28" t="inlineStr">
        <is>
          <t xml:space="preserve">  1.0</t>
        </is>
      </c>
      <c r="B28" t="n">
        <v>1</v>
      </c>
      <c r="C28" t="n">
        <v>205</v>
      </c>
      <c r="D28" t="n">
        <v>207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XRCC3expression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XRCC3expression</t>
        </is>
      </c>
      <c r="B2" t="inlineStr">
        <is>
          <t>R</t>
        </is>
      </c>
      <c r="C2" t="inlineStr">
        <is>
          <t>1</t>
        </is>
      </c>
      <c r="D2" t="inlineStr">
        <is>
          <t>-0.027</t>
        </is>
      </c>
      <c r="E2" t="inlineStr">
        <is>
          <t>-0.109</t>
        </is>
      </c>
      <c r="F2" t="inlineStr">
        <is>
          <t>0.002</t>
        </is>
      </c>
      <c r="G2" t="inlineStr">
        <is>
          <t>0.102</t>
        </is>
      </c>
      <c r="H2" t="inlineStr">
        <is>
          <t>0.142</t>
        </is>
      </c>
      <c r="I2" t="inlineStr">
        <is>
          <t>-0.026</t>
        </is>
      </c>
      <c r="J2" t="inlineStr">
        <is>
          <t>0.037</t>
        </is>
      </c>
    </row>
    <row r="3">
      <c r="A3" t="inlineStr"/>
      <c r="B3" t="inlineStr">
        <is>
          <t>P-value</t>
        </is>
      </c>
      <c r="C3" t="inlineStr"/>
      <c r="D3" t="inlineStr">
        <is>
          <t>0.585</t>
        </is>
      </c>
      <c r="E3" t="inlineStr">
        <is>
          <t>0.016</t>
        </is>
      </c>
      <c r="F3" t="inlineStr">
        <is>
          <t>0.970</t>
        </is>
      </c>
      <c r="G3" t="inlineStr">
        <is>
          <t>0.025</t>
        </is>
      </c>
      <c r="H3" t="inlineStr">
        <is>
          <t>0.002</t>
        </is>
      </c>
      <c r="I3" t="inlineStr">
        <is>
          <t>0.565</t>
        </is>
      </c>
      <c r="J3" t="inlineStr">
        <is>
          <t>0.411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-0.027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0.585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-0.109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0.016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0.002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0.970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0.102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0.025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0.142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0.002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-0.026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0.565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0.037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0.411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1.002</v>
      </c>
      <c r="D2" t="n">
        <v>1.041</v>
      </c>
      <c r="E2" t="inlineStr">
        <is>
          <t>0.033</t>
        </is>
      </c>
    </row>
    <row r="3">
      <c r="A3" t="inlineStr">
        <is>
          <t>number_pack_years_smoked</t>
        </is>
      </c>
      <c r="B3" t="n">
        <v>1.001</v>
      </c>
      <c r="C3" t="n">
        <v>0.996</v>
      </c>
      <c r="D3" t="n">
        <v>1.005</v>
      </c>
      <c r="E3" t="inlineStr">
        <is>
          <t>0.797</t>
        </is>
      </c>
    </row>
    <row r="4">
      <c r="A4" t="inlineStr">
        <is>
          <t>TP53Expression</t>
        </is>
      </c>
      <c r="B4" t="n">
        <v>1</v>
      </c>
      <c r="C4" t="n">
        <v>1</v>
      </c>
      <c r="D4" t="n">
        <v>1</v>
      </c>
      <c r="E4" t="inlineStr">
        <is>
          <t>0.646</t>
        </is>
      </c>
    </row>
    <row r="5">
      <c r="A5" t="inlineStr">
        <is>
          <t>CDKN2AExpression</t>
        </is>
      </c>
      <c r="B5" t="n">
        <v>1</v>
      </c>
      <c r="C5" t="n">
        <v>1</v>
      </c>
      <c r="D5" t="n">
        <v>1</v>
      </c>
      <c r="E5" t="inlineStr">
        <is>
          <t>0.970</t>
        </is>
      </c>
    </row>
    <row r="6">
      <c r="A6" t="inlineStr">
        <is>
          <t>SOX2Expression</t>
        </is>
      </c>
      <c r="B6" t="n">
        <v>1</v>
      </c>
      <c r="C6" t="n">
        <v>1</v>
      </c>
      <c r="D6" t="n">
        <v>1</v>
      </c>
      <c r="E6" t="inlineStr">
        <is>
          <t>0.165</t>
        </is>
      </c>
    </row>
    <row r="7">
      <c r="A7" t="inlineStr">
        <is>
          <t>PIK3CAExpression</t>
        </is>
      </c>
      <c r="B7" t="n">
        <v>1</v>
      </c>
      <c r="C7" t="n">
        <v>1</v>
      </c>
      <c r="D7" t="n">
        <v>1</v>
      </c>
      <c r="E7" t="inlineStr">
        <is>
          <t>0.534</t>
        </is>
      </c>
    </row>
    <row r="8">
      <c r="A8" t="inlineStr">
        <is>
          <t>NOTCH1Expression</t>
        </is>
      </c>
      <c r="B8" t="n">
        <v>1</v>
      </c>
      <c r="C8" t="n">
        <v>1</v>
      </c>
      <c r="D8" t="n">
        <v>1</v>
      </c>
      <c r="E8" t="inlineStr">
        <is>
          <t>0.745</t>
        </is>
      </c>
    </row>
    <row r="9">
      <c r="A9" t="inlineStr">
        <is>
          <t>XRCC3group_High</t>
        </is>
      </c>
      <c r="B9" t="n">
        <v>505182.941</v>
      </c>
      <c r="C9" t="n">
        <v>0</v>
      </c>
      <c r="D9" t="inlineStr">
        <is>
          <t>inf</t>
        </is>
      </c>
      <c r="E9" t="inlineStr">
        <is>
          <t>0.993</t>
        </is>
      </c>
    </row>
    <row r="10">
      <c r="A10" t="inlineStr">
        <is>
          <t>XRCC3group_Low</t>
        </is>
      </c>
      <c r="B10" t="n">
        <v>649083.7560000001</v>
      </c>
      <c r="C10" t="n">
        <v>0</v>
      </c>
      <c r="D10" t="inlineStr">
        <is>
          <t>inf</t>
        </is>
      </c>
      <c r="E10" t="inlineStr">
        <is>
          <t>0.993</t>
        </is>
      </c>
    </row>
    <row r="11">
      <c r="A11" t="inlineStr">
        <is>
          <t>gender_MALE</t>
        </is>
      </c>
      <c r="B11" t="n">
        <v>1.259</v>
      </c>
      <c r="C11" t="n">
        <v>0.879</v>
      </c>
      <c r="D11" t="n">
        <v>1.804</v>
      </c>
      <c r="E11" t="inlineStr">
        <is>
          <t>0.208</t>
        </is>
      </c>
    </row>
    <row r="12">
      <c r="A12" t="inlineStr">
        <is>
          <t>pathologic_stage_2.0</t>
        </is>
      </c>
      <c r="B12" t="n">
        <v>1.088</v>
      </c>
      <c r="C12" t="n">
        <v>0.764</v>
      </c>
      <c r="D12" t="n">
        <v>1.551</v>
      </c>
      <c r="E12" t="inlineStr">
        <is>
          <t>0.639</t>
        </is>
      </c>
    </row>
    <row r="13">
      <c r="A13" t="inlineStr">
        <is>
          <t>pathologic_stage_3.0</t>
        </is>
      </c>
      <c r="B13" t="n">
        <v>1.457</v>
      </c>
      <c r="C13" t="n">
        <v>0.973</v>
      </c>
      <c r="D13" t="n">
        <v>2.181</v>
      </c>
      <c r="E13" t="inlineStr">
        <is>
          <t>0.068</t>
        </is>
      </c>
    </row>
    <row r="14">
      <c r="A14" t="inlineStr">
        <is>
          <t>pathologic_stage_4.0</t>
        </is>
      </c>
      <c r="B14" t="n">
        <v>2.992</v>
      </c>
      <c r="C14" t="n">
        <v>1.187</v>
      </c>
      <c r="D14" t="n">
        <v>7.541</v>
      </c>
      <c r="E14" t="inlineStr">
        <is>
          <t>0.020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XRCC3expression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XRCC3expression ~ age + number_pack_years_smoked + pathologic_stage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0.0314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1.1656e-02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841.7472</v>
      </c>
      <c r="C8" t="n">
        <v>528.6834</v>
      </c>
      <c r="D8" t="n">
        <v>1154.8109</v>
      </c>
      <c r="E8" t="inlineStr">
        <is>
          <t>&lt;0.001</t>
        </is>
      </c>
    </row>
    <row r="9">
      <c r="A9" t="inlineStr">
        <is>
          <t>C(gender)[T.MALE]</t>
        </is>
      </c>
      <c r="B9" t="n">
        <v>89.13720000000001</v>
      </c>
      <c r="C9" t="n">
        <v>9.273300000000001</v>
      </c>
      <c r="D9" t="n">
        <v>169.0011</v>
      </c>
      <c r="E9" t="inlineStr">
        <is>
          <t>0.029</t>
        </is>
      </c>
    </row>
    <row r="10">
      <c r="A10" t="inlineStr">
        <is>
          <t>age</t>
        </is>
      </c>
      <c r="B10" t="n">
        <v>-5.1626</v>
      </c>
      <c r="C10" t="n">
        <v>-9.4291</v>
      </c>
      <c r="D10" t="n">
        <v>-0.8961</v>
      </c>
      <c r="E10" t="inlineStr">
        <is>
          <t>0.018</t>
        </is>
      </c>
    </row>
    <row r="11">
      <c r="A11" t="inlineStr">
        <is>
          <t>number_pack_years_smoked</t>
        </is>
      </c>
      <c r="B11" t="n">
        <v>-0.4115</v>
      </c>
      <c r="C11" t="n">
        <v>-1.5348</v>
      </c>
      <c r="D11" t="n">
        <v>0.7118</v>
      </c>
      <c r="E11" t="inlineStr">
        <is>
          <t>0.472</t>
        </is>
      </c>
    </row>
    <row r="12">
      <c r="A12" t="inlineStr">
        <is>
          <t>pathologic_stage</t>
        </is>
      </c>
      <c r="B12" t="n">
        <v>25.2729</v>
      </c>
      <c r="C12" t="n">
        <v>-18.7692</v>
      </c>
      <c r="D12" t="n">
        <v>69.315</v>
      </c>
      <c r="E12" t="inlineStr">
        <is>
          <t>0.260</t>
        </is>
      </c>
    </row>
    <row r="13">
      <c r="A13" t="inlineStr"/>
      <c r="B13" t="inlineStr"/>
      <c r="C13" t="inlineStr"/>
      <c r="D13" t="inlineStr"/>
      <c r="E13" t="inlineStr"/>
    </row>
    <row r="14">
      <c r="A14">
        <f>== [ Model: Base + Pathologic T ] ===</f>
        <v/>
      </c>
      <c r="B14" t="inlineStr"/>
      <c r="C14" t="inlineStr"/>
      <c r="D14" t="inlineStr"/>
      <c r="E14" t="inlineStr"/>
    </row>
    <row r="15">
      <c r="A15" t="inlineStr">
        <is>
          <t>Dependent Variable (Y)</t>
        </is>
      </c>
      <c r="B15" t="inlineStr">
        <is>
          <t>XRCC3expression</t>
        </is>
      </c>
      <c r="C15" t="inlineStr"/>
      <c r="D15" t="inlineStr"/>
      <c r="E15" t="inlineStr"/>
    </row>
    <row r="16">
      <c r="A16" t="inlineStr">
        <is>
          <t>Model Formula</t>
        </is>
      </c>
      <c r="B16" t="inlineStr">
        <is>
          <t>XRCC3expression ~ age + number_pack_years_smoked + pathologic_stage + C(gender) + C(pathologic_T)</t>
        </is>
      </c>
      <c r="C16" t="inlineStr"/>
      <c r="D16" t="inlineStr"/>
      <c r="E16" t="inlineStr"/>
    </row>
    <row r="17">
      <c r="A17" t="inlineStr">
        <is>
          <t>R-squared</t>
        </is>
      </c>
      <c r="B17" t="inlineStr">
        <is>
          <t>0.0367</t>
        </is>
      </c>
      <c r="C17" t="inlineStr"/>
      <c r="D17" t="inlineStr"/>
      <c r="E17" t="inlineStr"/>
    </row>
    <row r="18">
      <c r="A18" t="inlineStr">
        <is>
          <t>Prob (F-statistic)</t>
        </is>
      </c>
      <c r="B18" t="inlineStr">
        <is>
          <t>3.4940e-02</t>
        </is>
      </c>
      <c r="C18" t="inlineStr"/>
      <c r="D18" t="inlineStr"/>
      <c r="E18" t="inlineStr"/>
    </row>
    <row r="19">
      <c r="A19" t="inlineStr">
        <is>
          <t>--- [ Coefficients ] ---</t>
        </is>
      </c>
      <c r="B19" t="inlineStr"/>
      <c r="C19" t="inlineStr"/>
      <c r="D19" t="inlineStr"/>
      <c r="E19" t="inlineStr"/>
    </row>
    <row r="20">
      <c r="A20" t="inlineStr">
        <is>
          <t>Intercept</t>
        </is>
      </c>
      <c r="B20" t="n">
        <v>807.9279</v>
      </c>
      <c r="C20" t="n">
        <v>489.0994</v>
      </c>
      <c r="D20" t="n">
        <v>1126.7564</v>
      </c>
      <c r="E20" t="inlineStr">
        <is>
          <t>&lt;0.001</t>
        </is>
      </c>
    </row>
    <row r="21">
      <c r="A21" t="inlineStr">
        <is>
          <t>C(gender)[T.MALE]</t>
        </is>
      </c>
      <c r="B21" t="n">
        <v>91.758</v>
      </c>
      <c r="C21" t="n">
        <v>10.7892</v>
      </c>
      <c r="D21" t="n">
        <v>172.7267</v>
      </c>
      <c r="E21" t="inlineStr">
        <is>
          <t>0.026</t>
        </is>
      </c>
    </row>
    <row r="22">
      <c r="A22" t="inlineStr">
        <is>
          <t>C(pathologic_T)[T.2.0]</t>
        </is>
      </c>
      <c r="B22" t="n">
        <v>0.1702</v>
      </c>
      <c r="C22" t="n">
        <v>-88.9134</v>
      </c>
      <c r="D22" t="n">
        <v>89.2538</v>
      </c>
      <c r="E22" t="inlineStr">
        <is>
          <t>0.997</t>
        </is>
      </c>
    </row>
    <row r="23">
      <c r="A23" t="inlineStr">
        <is>
          <t>C(pathologic_T)[T.3.0]</t>
        </is>
      </c>
      <c r="B23" t="n">
        <v>32.8988</v>
      </c>
      <c r="C23" t="n">
        <v>-105.9739</v>
      </c>
      <c r="D23" t="n">
        <v>171.7714</v>
      </c>
      <c r="E23" t="inlineStr">
        <is>
          <t>0.642</t>
        </is>
      </c>
    </row>
    <row r="24">
      <c r="A24" t="inlineStr">
        <is>
          <t>C(pathologic_T)[T.4.0]</t>
        </is>
      </c>
      <c r="B24" t="n">
        <v>-119.1153</v>
      </c>
      <c r="C24" t="n">
        <v>-332.4124</v>
      </c>
      <c r="D24" t="n">
        <v>94.1818</v>
      </c>
      <c r="E24" t="inlineStr">
        <is>
          <t>0.273</t>
        </is>
      </c>
    </row>
    <row r="25">
      <c r="A25" t="inlineStr">
        <is>
          <t>age</t>
        </is>
      </c>
      <c r="B25" t="n">
        <v>-4.8781</v>
      </c>
      <c r="C25" t="n">
        <v>-9.1716</v>
      </c>
      <c r="D25" t="n">
        <v>-0.5846</v>
      </c>
      <c r="E25" t="inlineStr">
        <is>
          <t>0.026</t>
        </is>
      </c>
    </row>
    <row r="26">
      <c r="A26" t="inlineStr">
        <is>
          <t>number_pack_years_smoked</t>
        </is>
      </c>
      <c r="B26" t="n">
        <v>-0.3601</v>
      </c>
      <c r="C26" t="n">
        <v>-1.4868</v>
      </c>
      <c r="D26" t="n">
        <v>0.7665999999999999</v>
      </c>
      <c r="E26" t="inlineStr">
        <is>
          <t>0.530</t>
        </is>
      </c>
    </row>
    <row r="27">
      <c r="A27" t="inlineStr">
        <is>
          <t>pathologic_stage</t>
        </is>
      </c>
      <c r="B27" t="n">
        <v>31.5869</v>
      </c>
      <c r="C27" t="n">
        <v>-22.4827</v>
      </c>
      <c r="D27" t="n">
        <v>85.65649999999999</v>
      </c>
      <c r="E27" t="inlineStr">
        <is>
          <t>0.251</t>
        </is>
      </c>
    </row>
    <row r="28">
      <c r="A28" t="inlineStr"/>
      <c r="B28" t="inlineStr"/>
      <c r="C28" t="inlineStr"/>
      <c r="D28" t="inlineStr"/>
      <c r="E28" t="inlineStr"/>
    </row>
    <row r="29">
      <c r="A29">
        <f>== [ Model: Base + Pathologic N ] ===</f>
        <v/>
      </c>
      <c r="B29" t="inlineStr"/>
      <c r="C29" t="inlineStr"/>
      <c r="D29" t="inlineStr"/>
      <c r="E29" t="inlineStr"/>
    </row>
    <row r="30">
      <c r="A30" t="inlineStr">
        <is>
          <t>Dependent Variable (Y)</t>
        </is>
      </c>
      <c r="B30" t="inlineStr">
        <is>
          <t>XRCC3expression</t>
        </is>
      </c>
      <c r="C30" t="inlineStr"/>
      <c r="D30" t="inlineStr"/>
      <c r="E30" t="inlineStr"/>
    </row>
    <row r="31">
      <c r="A31" t="inlineStr">
        <is>
          <t>Model Formula</t>
        </is>
      </c>
      <c r="B31" t="inlineStr">
        <is>
          <t>XRCC3expression ~ age + number_pack_years_smoked + pathologic_stage + C(gender) + C(pathologic_N)</t>
        </is>
      </c>
      <c r="C31" t="inlineStr"/>
      <c r="D31" t="inlineStr"/>
      <c r="E31" t="inlineStr"/>
    </row>
    <row r="32">
      <c r="A32" t="inlineStr">
        <is>
          <t>R-squared</t>
        </is>
      </c>
      <c r="B32" t="inlineStr">
        <is>
          <t>0.0375</t>
        </is>
      </c>
      <c r="C32" t="inlineStr"/>
      <c r="D32" t="inlineStr"/>
      <c r="E32" t="inlineStr"/>
    </row>
    <row r="33">
      <c r="A33" t="inlineStr">
        <is>
          <t>Prob (F-statistic)</t>
        </is>
      </c>
      <c r="B33" t="inlineStr">
        <is>
          <t>3.3139e-02</t>
        </is>
      </c>
      <c r="C33" t="inlineStr"/>
      <c r="D33" t="inlineStr"/>
      <c r="E33" t="inlineStr"/>
    </row>
    <row r="34">
      <c r="A34" t="inlineStr">
        <is>
          <t>--- [ Coefficients ] ---</t>
        </is>
      </c>
      <c r="B34" t="inlineStr"/>
      <c r="C34" t="inlineStr"/>
      <c r="D34" t="inlineStr"/>
      <c r="E34" t="inlineStr"/>
    </row>
    <row r="35">
      <c r="A35" t="inlineStr">
        <is>
          <t>Intercept</t>
        </is>
      </c>
      <c r="B35" t="n">
        <v>852.0059</v>
      </c>
      <c r="C35" t="n">
        <v>532.668</v>
      </c>
      <c r="D35" t="n">
        <v>1171.3438</v>
      </c>
      <c r="E35" t="inlineStr">
        <is>
          <t>&lt;0.001</t>
        </is>
      </c>
    </row>
    <row r="36">
      <c r="A36" t="inlineStr">
        <is>
          <t>C(gender)[T.MALE]</t>
        </is>
      </c>
      <c r="B36" t="n">
        <v>93.71169999999999</v>
      </c>
      <c r="C36" t="n">
        <v>13.1097</v>
      </c>
      <c r="D36" t="n">
        <v>174.3137</v>
      </c>
      <c r="E36" t="inlineStr">
        <is>
          <t>0.023</t>
        </is>
      </c>
    </row>
    <row r="37">
      <c r="A37" t="inlineStr">
        <is>
          <t>C(pathologic_N)[T.1.0]</t>
        </is>
      </c>
      <c r="B37" t="n">
        <v>60.8624</v>
      </c>
      <c r="C37" t="n">
        <v>-46.0591</v>
      </c>
      <c r="D37" t="n">
        <v>167.7839</v>
      </c>
      <c r="E37" t="inlineStr">
        <is>
          <t>0.264</t>
        </is>
      </c>
    </row>
    <row r="38">
      <c r="A38" t="inlineStr">
        <is>
          <t>C(pathologic_N)[T.2.0]</t>
        </is>
      </c>
      <c r="B38" t="n">
        <v>110.6762</v>
      </c>
      <c r="C38" t="n">
        <v>-68.8283</v>
      </c>
      <c r="D38" t="n">
        <v>290.1807</v>
      </c>
      <c r="E38" t="inlineStr">
        <is>
          <t>0.226</t>
        </is>
      </c>
    </row>
    <row r="39">
      <c r="A39" t="inlineStr">
        <is>
          <t>C(pathologic_N)[T.3.0]</t>
        </is>
      </c>
      <c r="B39" t="n">
        <v>-88.4816</v>
      </c>
      <c r="C39" t="n">
        <v>-429.8603</v>
      </c>
      <c r="D39" t="n">
        <v>252.8971</v>
      </c>
      <c r="E39" t="inlineStr">
        <is>
          <t>0.611</t>
        </is>
      </c>
    </row>
    <row r="40">
      <c r="A40" t="inlineStr">
        <is>
          <t>age</t>
        </is>
      </c>
      <c r="B40" t="n">
        <v>-4.8408</v>
      </c>
      <c r="C40" t="n">
        <v>-9.214700000000001</v>
      </c>
      <c r="D40" t="n">
        <v>-0.4669</v>
      </c>
      <c r="E40" t="inlineStr">
        <is>
          <t>0.030</t>
        </is>
      </c>
    </row>
    <row r="41">
      <c r="A41" t="inlineStr">
        <is>
          <t>number_pack_years_smoked</t>
        </is>
      </c>
      <c r="B41" t="n">
        <v>-0.4547</v>
      </c>
      <c r="C41" t="n">
        <v>-1.5877</v>
      </c>
      <c r="D41" t="n">
        <v>0.6782</v>
      </c>
      <c r="E41" t="inlineStr">
        <is>
          <t>0.431</t>
        </is>
      </c>
    </row>
    <row r="42">
      <c r="A42" t="inlineStr">
        <is>
          <t>pathologic_stage</t>
        </is>
      </c>
      <c r="B42" t="n">
        <v>-7.952</v>
      </c>
      <c r="C42" t="n">
        <v>-76.8449</v>
      </c>
      <c r="D42" t="n">
        <v>60.9409</v>
      </c>
      <c r="E42" t="inlineStr">
        <is>
          <t>0.821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Base +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XRCC3expression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XRCC3expression ~ age + number_pack_years_smoked + pathologic_stage + C(gender)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0.0367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2.6244e-02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914.2578999999999</v>
      </c>
      <c r="C50" t="n">
        <v>554.0359999999999</v>
      </c>
      <c r="D50" t="n">
        <v>1274.4798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91.62350000000001</v>
      </c>
      <c r="C51" t="n">
        <v>2.0922</v>
      </c>
      <c r="D51" t="n">
        <v>181.1548</v>
      </c>
      <c r="E51" t="inlineStr">
        <is>
          <t>0.045</t>
        </is>
      </c>
    </row>
    <row r="52">
      <c r="A52" t="inlineStr">
        <is>
          <t>C(pathologic_M)[T.1.0]</t>
        </is>
      </c>
      <c r="B52" t="n">
        <v>-155.6327</v>
      </c>
      <c r="C52" t="n">
        <v>-476.7119</v>
      </c>
      <c r="D52" t="n">
        <v>165.4466</v>
      </c>
      <c r="E52" t="inlineStr">
        <is>
          <t>0.341</t>
        </is>
      </c>
    </row>
    <row r="53">
      <c r="A53" t="inlineStr">
        <is>
          <t>age</t>
        </is>
      </c>
      <c r="B53" t="n">
        <v>-6.2398</v>
      </c>
      <c r="C53" t="n">
        <v>-11.1059</v>
      </c>
      <c r="D53" t="n">
        <v>-1.3736</v>
      </c>
      <c r="E53" t="inlineStr">
        <is>
          <t>0.012</t>
        </is>
      </c>
    </row>
    <row r="54">
      <c r="A54" t="inlineStr">
        <is>
          <t>number_pack_years_smoked</t>
        </is>
      </c>
      <c r="B54" t="n">
        <v>-0.2116</v>
      </c>
      <c r="C54" t="n">
        <v>-1.4718</v>
      </c>
      <c r="D54" t="n">
        <v>1.0487</v>
      </c>
      <c r="E54" t="inlineStr">
        <is>
          <t>0.741</t>
        </is>
      </c>
    </row>
    <row r="55">
      <c r="A55" t="inlineStr">
        <is>
          <t>pathologic_stage</t>
        </is>
      </c>
      <c r="B55" t="n">
        <v>21.2135</v>
      </c>
      <c r="C55" t="n">
        <v>-30.6793</v>
      </c>
      <c r="D55" t="n">
        <v>73.1062</v>
      </c>
      <c r="E55" t="inlineStr">
        <is>
          <t>0.422</t>
        </is>
      </c>
    </row>
    <row r="56">
      <c r="A56" t="inlineStr"/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XRCC3</t>
        </is>
      </c>
      <c r="D2" t="inlineStr">
        <is>
          <t>4.565</t>
        </is>
      </c>
      <c r="E2" t="inlineStr">
        <is>
          <t>0.033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XRCC3</t>
        </is>
      </c>
      <c r="D3" t="inlineStr">
        <is>
          <t>1.724</t>
        </is>
      </c>
      <c r="E3" t="inlineStr">
        <is>
          <t>0.189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2026-06-29T15:37:49Z</dcterms:created>
  <dcterms:modified xsi:type="dcterms:W3CDTF">2026-06-29T15:37:49Z</dcterms:modified>
</cp:coreProperties>
</file>
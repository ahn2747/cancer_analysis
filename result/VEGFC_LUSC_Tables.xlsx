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(Chi-square)" sheetId="1" state="visible" r:id="rId1"/>
    <sheet name="Table 2 (Correlation)" sheetId="2" state="visible" r:id="rId2"/>
    <sheet name="Table 3 (Cox)" sheetId="3" state="visible" r:id="rId3"/>
    <sheet name="Table 4 (Multivariate OL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</row>
    <row r="3">
      <c r="A3" t="inlineStr">
        <is>
          <t xml:space="preserve">  0.0</t>
        </is>
      </c>
      <c r="B3" t="n">
        <v>93</v>
      </c>
      <c r="C3" t="n">
        <v>96</v>
      </c>
      <c r="D3" t="inlineStr">
        <is>
          <t>0.824</t>
        </is>
      </c>
    </row>
    <row r="4">
      <c r="A4" t="inlineStr">
        <is>
          <t xml:space="preserve">  1.0</t>
        </is>
      </c>
      <c r="B4" t="n">
        <v>151</v>
      </c>
      <c r="C4" t="n">
        <v>147</v>
      </c>
      <c r="D4" t="inlineStr"/>
    </row>
    <row r="5">
      <c r="A5" t="inlineStr">
        <is>
          <t>gender</t>
        </is>
      </c>
      <c r="B5" t="inlineStr"/>
      <c r="C5" t="inlineStr"/>
      <c r="D5" t="inlineStr"/>
    </row>
    <row r="6">
      <c r="A6" t="inlineStr">
        <is>
          <t>  </t>
        </is>
      </c>
      <c r="B6" t="n">
        <v>0</v>
      </c>
      <c r="C6" t="n">
        <v>1</v>
      </c>
      <c r="D6" t="inlineStr">
        <is>
          <t>0.590</t>
        </is>
      </c>
    </row>
    <row r="7">
      <c r="A7" t="inlineStr">
        <is>
          <t xml:space="preserve">  FEMALE</t>
        </is>
      </c>
      <c r="B7" t="n">
        <v>62</v>
      </c>
      <c r="C7" t="n">
        <v>64</v>
      </c>
      <c r="D7" t="inlineStr"/>
    </row>
    <row r="8">
      <c r="A8" t="inlineStr">
        <is>
          <t xml:space="preserve">  MALE</t>
        </is>
      </c>
      <c r="B8" t="n">
        <v>182</v>
      </c>
      <c r="C8" t="n">
        <v>179</v>
      </c>
      <c r="D8" t="inlineStr"/>
    </row>
    <row r="9">
      <c r="A9" t="inlineStr">
        <is>
          <t>pathologic_stage</t>
        </is>
      </c>
      <c r="B9" t="inlineStr"/>
      <c r="C9" t="inlineStr"/>
      <c r="D9" t="inlineStr"/>
    </row>
    <row r="10">
      <c r="A10" t="inlineStr">
        <is>
          <t xml:space="preserve">  1.0</t>
        </is>
      </c>
      <c r="B10" t="n">
        <v>114</v>
      </c>
      <c r="C10" t="n">
        <v>123</v>
      </c>
      <c r="D10" t="inlineStr">
        <is>
          <t>0.628</t>
        </is>
      </c>
    </row>
    <row r="11">
      <c r="A11" t="inlineStr">
        <is>
          <t xml:space="preserve">  2.0</t>
        </is>
      </c>
      <c r="B11" t="n">
        <v>80</v>
      </c>
      <c r="C11" t="n">
        <v>76</v>
      </c>
      <c r="D11" t="inlineStr"/>
    </row>
    <row r="12">
      <c r="A12" t="inlineStr">
        <is>
          <t xml:space="preserve">  3.0</t>
        </is>
      </c>
      <c r="B12" t="n">
        <v>42</v>
      </c>
      <c r="C12" t="n">
        <v>41</v>
      </c>
      <c r="D12" t="inlineStr"/>
    </row>
    <row r="13">
      <c r="A13" t="inlineStr">
        <is>
          <t xml:space="preserve">  4.0</t>
        </is>
      </c>
      <c r="B13" t="n">
        <v>5</v>
      </c>
      <c r="C13" t="n">
        <v>2</v>
      </c>
      <c r="D13" t="inlineStr"/>
    </row>
    <row r="14">
      <c r="A14" t="inlineStr">
        <is>
          <t>pathologic_M</t>
        </is>
      </c>
      <c r="B14" t="inlineStr"/>
      <c r="C14" t="inlineStr"/>
      <c r="D14" t="inlineStr"/>
    </row>
    <row r="15">
      <c r="A15" t="inlineStr">
        <is>
          <t xml:space="preserve">  0.0</t>
        </is>
      </c>
      <c r="B15" t="n">
        <v>197</v>
      </c>
      <c r="C15" t="n">
        <v>203</v>
      </c>
      <c r="D15" t="inlineStr">
        <is>
          <t>0.434</t>
        </is>
      </c>
    </row>
    <row r="16">
      <c r="A16" t="inlineStr">
        <is>
          <t xml:space="preserve">  1.0</t>
        </is>
      </c>
      <c r="B16" t="n">
        <v>5</v>
      </c>
      <c r="C16" t="n">
        <v>2</v>
      </c>
      <c r="D16" t="inlineStr"/>
    </row>
    <row r="17">
      <c r="A17" t="inlineStr">
        <is>
          <t>pathologic_N</t>
        </is>
      </c>
      <c r="B17" t="inlineStr"/>
      <c r="C17" t="inlineStr"/>
      <c r="D17" t="inlineStr"/>
    </row>
    <row r="18">
      <c r="A18" t="inlineStr">
        <is>
          <t xml:space="preserve">  0.0</t>
        </is>
      </c>
      <c r="B18" t="n">
        <v>151</v>
      </c>
      <c r="C18" t="n">
        <v>159</v>
      </c>
      <c r="D18" t="inlineStr">
        <is>
          <t>0.730</t>
        </is>
      </c>
    </row>
    <row r="19">
      <c r="A19" t="inlineStr">
        <is>
          <t xml:space="preserve">  1.0</t>
        </is>
      </c>
      <c r="B19" t="n">
        <v>67</v>
      </c>
      <c r="C19" t="n">
        <v>59</v>
      </c>
      <c r="D19" t="inlineStr"/>
    </row>
    <row r="20">
      <c r="A20" t="inlineStr">
        <is>
          <t xml:space="preserve">  2.0</t>
        </is>
      </c>
      <c r="B20" t="n">
        <v>18</v>
      </c>
      <c r="C20" t="n">
        <v>22</v>
      </c>
      <c r="D20" t="inlineStr"/>
    </row>
    <row r="21">
      <c r="A21" t="inlineStr">
        <is>
          <t xml:space="preserve">  3.0</t>
        </is>
      </c>
      <c r="B21" t="n">
        <v>3</v>
      </c>
      <c r="C21" t="n">
        <v>2</v>
      </c>
      <c r="D21" t="inlineStr"/>
    </row>
    <row r="22">
      <c r="A22" t="inlineStr">
        <is>
          <t>pathologic_T</t>
        </is>
      </c>
      <c r="B22" t="inlineStr"/>
      <c r="C22" t="inlineStr"/>
      <c r="D22" t="inlineStr"/>
    </row>
    <row r="23">
      <c r="A23" t="inlineStr">
        <is>
          <t xml:space="preserve">  1.0</t>
        </is>
      </c>
      <c r="B23" t="n">
        <v>51</v>
      </c>
      <c r="C23" t="n">
        <v>58</v>
      </c>
      <c r="D23" t="inlineStr">
        <is>
          <t>0.622</t>
        </is>
      </c>
    </row>
    <row r="24">
      <c r="A24" t="inlineStr">
        <is>
          <t xml:space="preserve">  2.0</t>
        </is>
      </c>
      <c r="B24" t="n">
        <v>142</v>
      </c>
      <c r="C24" t="n">
        <v>143</v>
      </c>
      <c r="D24" t="inlineStr"/>
    </row>
    <row r="25">
      <c r="A25" t="inlineStr">
        <is>
          <t xml:space="preserve">  3.0</t>
        </is>
      </c>
      <c r="B25" t="n">
        <v>37</v>
      </c>
      <c r="C25" t="n">
        <v>33</v>
      </c>
      <c r="D25" t="inlineStr"/>
    </row>
    <row r="26">
      <c r="A26" t="inlineStr">
        <is>
          <t xml:space="preserve">  4.0</t>
        </is>
      </c>
      <c r="B26" t="n">
        <v>14</v>
      </c>
      <c r="C26" t="n">
        <v>9</v>
      </c>
      <c r="D26" t="inlineStr"/>
    </row>
    <row r="27">
      <c r="A27" t="inlineStr">
        <is>
          <t>SmokingStatus</t>
        </is>
      </c>
      <c r="B27" t="inlineStr"/>
      <c r="C27" t="inlineStr"/>
      <c r="D27" t="inlineStr"/>
    </row>
    <row r="28">
      <c r="A28" t="inlineStr">
        <is>
          <t xml:space="preserve">  0.0</t>
        </is>
      </c>
      <c r="B28" t="n">
        <v>36</v>
      </c>
      <c r="C28" t="n">
        <v>39</v>
      </c>
      <c r="D28" t="inlineStr">
        <is>
          <t>0.802</t>
        </is>
      </c>
    </row>
    <row r="29">
      <c r="A29" t="inlineStr">
        <is>
          <t xml:space="preserve">  1.0</t>
        </is>
      </c>
      <c r="B29" t="n">
        <v>208</v>
      </c>
      <c r="C29" t="n">
        <v>205</v>
      </c>
      <c r="D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VEGFCexpression</t>
        </is>
      </c>
      <c r="D1" s="1" t="inlineStr">
        <is>
          <t>number_pack_years_smoked</t>
        </is>
      </c>
      <c r="E1" s="1" t="inlineStr">
        <is>
          <t>TP53Expression</t>
        </is>
      </c>
      <c r="F1" s="1" t="inlineStr">
        <is>
          <t>CDKN2AExpression</t>
        </is>
      </c>
      <c r="G1" s="1" t="inlineStr">
        <is>
          <t>SOX2Expression</t>
        </is>
      </c>
      <c r="H1" s="1" t="inlineStr">
        <is>
          <t>PIK3CAExpression</t>
        </is>
      </c>
      <c r="I1" s="1" t="inlineStr">
        <is>
          <t>NOTCH1Expression</t>
        </is>
      </c>
      <c r="J1" s="1" t="inlineStr">
        <is>
          <t>age</t>
        </is>
      </c>
    </row>
    <row r="2">
      <c r="A2" t="inlineStr">
        <is>
          <t>VEGFCexpression</t>
        </is>
      </c>
      <c r="B2" t="inlineStr">
        <is>
          <t>R</t>
        </is>
      </c>
      <c r="C2" t="inlineStr">
        <is>
          <t>1</t>
        </is>
      </c>
      <c r="D2" t="inlineStr">
        <is>
          <t>-0.050</t>
        </is>
      </c>
      <c r="E2" t="inlineStr">
        <is>
          <t>0.022</t>
        </is>
      </c>
      <c r="F2" t="inlineStr">
        <is>
          <t>0.006</t>
        </is>
      </c>
      <c r="G2" t="inlineStr">
        <is>
          <t>-0.279</t>
        </is>
      </c>
      <c r="H2" t="inlineStr">
        <is>
          <t>-0.178</t>
        </is>
      </c>
      <c r="I2" t="inlineStr">
        <is>
          <t>-0.037</t>
        </is>
      </c>
      <c r="J2" t="inlineStr">
        <is>
          <t>0.009</t>
        </is>
      </c>
    </row>
    <row r="3">
      <c r="A3" t="inlineStr"/>
      <c r="B3" t="inlineStr">
        <is>
          <t>P</t>
        </is>
      </c>
      <c r="C3" t="inlineStr"/>
      <c r="D3" t="inlineStr">
        <is>
          <t>0.310</t>
        </is>
      </c>
      <c r="E3" t="inlineStr">
        <is>
          <t>0.659</t>
        </is>
      </c>
      <c r="F3" t="inlineStr">
        <is>
          <t>0.903</t>
        </is>
      </c>
      <c r="G3" t="inlineStr">
        <is>
          <t>&lt;0.001</t>
        </is>
      </c>
      <c r="H3" t="inlineStr">
        <is>
          <t>&lt;0.001</t>
        </is>
      </c>
      <c r="I3" t="inlineStr">
        <is>
          <t>0.450</t>
        </is>
      </c>
      <c r="J3" t="inlineStr">
        <is>
          <t>0.862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-0.050</t>
        </is>
      </c>
      <c r="D4" t="inlineStr">
        <is>
          <t>1</t>
        </is>
      </c>
      <c r="E4" t="inlineStr">
        <is>
          <t>-0.009</t>
        </is>
      </c>
      <c r="F4" t="inlineStr">
        <is>
          <t>-0.021</t>
        </is>
      </c>
      <c r="G4" t="inlineStr">
        <is>
          <t>-0.040</t>
        </is>
      </c>
      <c r="H4" t="inlineStr">
        <is>
          <t>0.020</t>
        </is>
      </c>
      <c r="I4" t="inlineStr">
        <is>
          <t>0.003</t>
        </is>
      </c>
      <c r="J4" t="inlineStr">
        <is>
          <t>0.040</t>
        </is>
      </c>
    </row>
    <row r="5">
      <c r="A5" t="inlineStr"/>
      <c r="B5" t="inlineStr">
        <is>
          <t>P</t>
        </is>
      </c>
      <c r="C5" t="inlineStr">
        <is>
          <t>0.310</t>
        </is>
      </c>
      <c r="D5" t="inlineStr"/>
      <c r="E5" t="inlineStr">
        <is>
          <t>0.852</t>
        </is>
      </c>
      <c r="F5" t="inlineStr">
        <is>
          <t>0.671</t>
        </is>
      </c>
      <c r="G5" t="inlineStr">
        <is>
          <t>0.417</t>
        </is>
      </c>
      <c r="H5" t="inlineStr">
        <is>
          <t>0.684</t>
        </is>
      </c>
      <c r="I5" t="inlineStr">
        <is>
          <t>0.950</t>
        </is>
      </c>
      <c r="J5" t="inlineStr">
        <is>
          <t>0.419</t>
        </is>
      </c>
    </row>
    <row r="6">
      <c r="A6" t="inlineStr">
        <is>
          <t>TP53Expression</t>
        </is>
      </c>
      <c r="B6" t="inlineStr">
        <is>
          <t>R</t>
        </is>
      </c>
      <c r="C6" t="inlineStr">
        <is>
          <t>0.022</t>
        </is>
      </c>
      <c r="D6" t="inlineStr">
        <is>
          <t>-0.009</t>
        </is>
      </c>
      <c r="E6" t="inlineStr">
        <is>
          <t>1</t>
        </is>
      </c>
      <c r="F6" t="inlineStr">
        <is>
          <t>-0.014</t>
        </is>
      </c>
      <c r="G6" t="inlineStr">
        <is>
          <t>0.069</t>
        </is>
      </c>
      <c r="H6" t="inlineStr">
        <is>
          <t>0.065</t>
        </is>
      </c>
      <c r="I6" t="inlineStr">
        <is>
          <t>0.094</t>
        </is>
      </c>
      <c r="J6" t="inlineStr">
        <is>
          <t>-0.045</t>
        </is>
      </c>
    </row>
    <row r="7">
      <c r="A7" t="inlineStr"/>
      <c r="B7" t="inlineStr">
        <is>
          <t>P</t>
        </is>
      </c>
      <c r="C7" t="inlineStr">
        <is>
          <t>0.659</t>
        </is>
      </c>
      <c r="D7" t="inlineStr">
        <is>
          <t>0.852</t>
        </is>
      </c>
      <c r="E7" t="inlineStr"/>
      <c r="F7" t="inlineStr">
        <is>
          <t>0.773</t>
        </is>
      </c>
      <c r="G7" t="inlineStr">
        <is>
          <t>0.167</t>
        </is>
      </c>
      <c r="H7" t="inlineStr">
        <is>
          <t>0.190</t>
        </is>
      </c>
      <c r="I7" t="inlineStr">
        <is>
          <t>0.057</t>
        </is>
      </c>
      <c r="J7" t="inlineStr">
        <is>
          <t>0.362</t>
        </is>
      </c>
    </row>
    <row r="8">
      <c r="A8" t="inlineStr">
        <is>
          <t>CDKN2AExpression</t>
        </is>
      </c>
      <c r="B8" t="inlineStr">
        <is>
          <t>R</t>
        </is>
      </c>
      <c r="C8" t="inlineStr">
        <is>
          <t>0.006</t>
        </is>
      </c>
      <c r="D8" t="inlineStr">
        <is>
          <t>-0.021</t>
        </is>
      </c>
      <c r="E8" t="inlineStr">
        <is>
          <t>-0.014</t>
        </is>
      </c>
      <c r="F8" t="inlineStr">
        <is>
          <t>1</t>
        </is>
      </c>
      <c r="G8" t="inlineStr">
        <is>
          <t>-0.005</t>
        </is>
      </c>
      <c r="H8" t="inlineStr">
        <is>
          <t>-0.027</t>
        </is>
      </c>
      <c r="I8" t="inlineStr">
        <is>
          <t>-0.070</t>
        </is>
      </c>
      <c r="J8" t="inlineStr">
        <is>
          <t>-0.010</t>
        </is>
      </c>
    </row>
    <row r="9">
      <c r="A9" t="inlineStr"/>
      <c r="B9" t="inlineStr">
        <is>
          <t>P</t>
        </is>
      </c>
      <c r="C9" t="inlineStr">
        <is>
          <t>0.903</t>
        </is>
      </c>
      <c r="D9" t="inlineStr">
        <is>
          <t>0.671</t>
        </is>
      </c>
      <c r="E9" t="inlineStr">
        <is>
          <t>0.773</t>
        </is>
      </c>
      <c r="F9" t="inlineStr"/>
      <c r="G9" t="inlineStr">
        <is>
          <t>0.925</t>
        </is>
      </c>
      <c r="H9" t="inlineStr">
        <is>
          <t>0.584</t>
        </is>
      </c>
      <c r="I9" t="inlineStr">
        <is>
          <t>0.160</t>
        </is>
      </c>
      <c r="J9" t="inlineStr">
        <is>
          <t>0.846</t>
        </is>
      </c>
    </row>
    <row r="10">
      <c r="A10" t="inlineStr">
        <is>
          <t>SOX2Expression</t>
        </is>
      </c>
      <c r="B10" t="inlineStr">
        <is>
          <t>R</t>
        </is>
      </c>
      <c r="C10" t="inlineStr">
        <is>
          <t>-0.279</t>
        </is>
      </c>
      <c r="D10" t="inlineStr">
        <is>
          <t>-0.040</t>
        </is>
      </c>
      <c r="E10" t="inlineStr">
        <is>
          <t>0.069</t>
        </is>
      </c>
      <c r="F10" t="inlineStr">
        <is>
          <t>-0.005</t>
        </is>
      </c>
      <c r="G10" t="inlineStr">
        <is>
          <t>1</t>
        </is>
      </c>
      <c r="H10" t="inlineStr">
        <is>
          <t>0.555</t>
        </is>
      </c>
      <c r="I10" t="inlineStr">
        <is>
          <t>0.013</t>
        </is>
      </c>
      <c r="J10" t="inlineStr">
        <is>
          <t>-0.147</t>
        </is>
      </c>
    </row>
    <row r="11">
      <c r="A11" t="inlineStr"/>
      <c r="B11" t="inlineStr">
        <is>
          <t>P</t>
        </is>
      </c>
      <c r="C11" t="inlineStr">
        <is>
          <t>&lt;0.001</t>
        </is>
      </c>
      <c r="D11" t="inlineStr">
        <is>
          <t>0.417</t>
        </is>
      </c>
      <c r="E11" t="inlineStr">
        <is>
          <t>0.167</t>
        </is>
      </c>
      <c r="F11" t="inlineStr">
        <is>
          <t>0.925</t>
        </is>
      </c>
      <c r="G11" t="inlineStr"/>
      <c r="H11" t="inlineStr">
        <is>
          <t>&lt;0.001</t>
        </is>
      </c>
      <c r="I11" t="inlineStr">
        <is>
          <t>0.786</t>
        </is>
      </c>
      <c r="J11" t="inlineStr">
        <is>
          <t>0.003</t>
        </is>
      </c>
    </row>
    <row r="12">
      <c r="A12" t="inlineStr">
        <is>
          <t>PIK3CAExpression</t>
        </is>
      </c>
      <c r="B12" t="inlineStr">
        <is>
          <t>R</t>
        </is>
      </c>
      <c r="C12" t="inlineStr">
        <is>
          <t>-0.178</t>
        </is>
      </c>
      <c r="D12" t="inlineStr">
        <is>
          <t>0.020</t>
        </is>
      </c>
      <c r="E12" t="inlineStr">
        <is>
          <t>0.065</t>
        </is>
      </c>
      <c r="F12" t="inlineStr">
        <is>
          <t>-0.027</t>
        </is>
      </c>
      <c r="G12" t="inlineStr">
        <is>
          <t>0.555</t>
        </is>
      </c>
      <c r="H12" t="inlineStr">
        <is>
          <t>1</t>
        </is>
      </c>
      <c r="I12" t="inlineStr">
        <is>
          <t>-0.036</t>
        </is>
      </c>
      <c r="J12" t="inlineStr">
        <is>
          <t>-0.031</t>
        </is>
      </c>
    </row>
    <row r="13">
      <c r="A13" t="inlineStr"/>
      <c r="B13" t="inlineStr">
        <is>
          <t>P</t>
        </is>
      </c>
      <c r="C13" t="inlineStr">
        <is>
          <t>&lt;0.001</t>
        </is>
      </c>
      <c r="D13" t="inlineStr">
        <is>
          <t>0.684</t>
        </is>
      </c>
      <c r="E13" t="inlineStr">
        <is>
          <t>0.190</t>
        </is>
      </c>
      <c r="F13" t="inlineStr">
        <is>
          <t>0.584</t>
        </is>
      </c>
      <c r="G13" t="inlineStr">
        <is>
          <t>&lt;0.001</t>
        </is>
      </c>
      <c r="H13" t="inlineStr"/>
      <c r="I13" t="inlineStr">
        <is>
          <t>0.467</t>
        </is>
      </c>
      <c r="J13" t="inlineStr">
        <is>
          <t>0.526</t>
        </is>
      </c>
    </row>
    <row r="14">
      <c r="A14" t="inlineStr">
        <is>
          <t>NOTCH1Expression</t>
        </is>
      </c>
      <c r="B14" t="inlineStr">
        <is>
          <t>R</t>
        </is>
      </c>
      <c r="C14" t="inlineStr">
        <is>
          <t>-0.037</t>
        </is>
      </c>
      <c r="D14" t="inlineStr">
        <is>
          <t>0.003</t>
        </is>
      </c>
      <c r="E14" t="inlineStr">
        <is>
          <t>0.094</t>
        </is>
      </c>
      <c r="F14" t="inlineStr">
        <is>
          <t>-0.070</t>
        </is>
      </c>
      <c r="G14" t="inlineStr">
        <is>
          <t>0.013</t>
        </is>
      </c>
      <c r="H14" t="inlineStr">
        <is>
          <t>-0.036</t>
        </is>
      </c>
      <c r="I14" t="inlineStr">
        <is>
          <t>1</t>
        </is>
      </c>
      <c r="J14" t="inlineStr">
        <is>
          <t>0.001</t>
        </is>
      </c>
    </row>
    <row r="15">
      <c r="A15" t="inlineStr"/>
      <c r="B15" t="inlineStr">
        <is>
          <t>P</t>
        </is>
      </c>
      <c r="C15" t="inlineStr">
        <is>
          <t>0.450</t>
        </is>
      </c>
      <c r="D15" t="inlineStr">
        <is>
          <t>0.950</t>
        </is>
      </c>
      <c r="E15" t="inlineStr">
        <is>
          <t>0.057</t>
        </is>
      </c>
      <c r="F15" t="inlineStr">
        <is>
          <t>0.160</t>
        </is>
      </c>
      <c r="G15" t="inlineStr">
        <is>
          <t>0.786</t>
        </is>
      </c>
      <c r="H15" t="inlineStr">
        <is>
          <t>0.467</t>
        </is>
      </c>
      <c r="I15" t="inlineStr"/>
      <c r="J15" t="inlineStr">
        <is>
          <t>0.987</t>
        </is>
      </c>
    </row>
    <row r="16">
      <c r="A16" t="inlineStr">
        <is>
          <t>age</t>
        </is>
      </c>
      <c r="B16" t="inlineStr">
        <is>
          <t>R</t>
        </is>
      </c>
      <c r="C16" t="inlineStr">
        <is>
          <t>0.009</t>
        </is>
      </c>
      <c r="D16" t="inlineStr">
        <is>
          <t>0.040</t>
        </is>
      </c>
      <c r="E16" t="inlineStr">
        <is>
          <t>-0.045</t>
        </is>
      </c>
      <c r="F16" t="inlineStr">
        <is>
          <t>-0.010</t>
        </is>
      </c>
      <c r="G16" t="inlineStr">
        <is>
          <t>-0.147</t>
        </is>
      </c>
      <c r="H16" t="inlineStr">
        <is>
          <t>-0.031</t>
        </is>
      </c>
      <c r="I16" t="inlineStr">
        <is>
          <t>0.001</t>
        </is>
      </c>
      <c r="J16" t="inlineStr">
        <is>
          <t>1</t>
        </is>
      </c>
    </row>
    <row r="17">
      <c r="A17" t="inlineStr"/>
      <c r="B17" t="inlineStr">
        <is>
          <t>P</t>
        </is>
      </c>
      <c r="C17" t="inlineStr">
        <is>
          <t>0.862</t>
        </is>
      </c>
      <c r="D17" t="inlineStr">
        <is>
          <t>0.419</t>
        </is>
      </c>
      <c r="E17" t="inlineStr">
        <is>
          <t>0.362</t>
        </is>
      </c>
      <c r="F17" t="inlineStr">
        <is>
          <t>0.846</t>
        </is>
      </c>
      <c r="G17" t="inlineStr">
        <is>
          <t>0.003</t>
        </is>
      </c>
      <c r="H17" t="inlineStr">
        <is>
          <t>0.526</t>
        </is>
      </c>
      <c r="I17" t="inlineStr">
        <is>
          <t>0.987</t>
        </is>
      </c>
      <c r="J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P-value</t>
        </is>
      </c>
    </row>
    <row r="2">
      <c r="A2" t="inlineStr">
        <is>
          <t>age</t>
        </is>
      </c>
      <c r="B2" t="n">
        <v>1.022</v>
      </c>
      <c r="C2" t="inlineStr">
        <is>
          <t>0.018</t>
        </is>
      </c>
    </row>
    <row r="3">
      <c r="A3" t="inlineStr">
        <is>
          <t>number_pack_years_smoked</t>
        </is>
      </c>
      <c r="B3" t="n">
        <v>0.999</v>
      </c>
      <c r="C3" t="inlineStr">
        <is>
          <t>0.812</t>
        </is>
      </c>
    </row>
    <row r="4">
      <c r="A4" t="inlineStr">
        <is>
          <t>VEGFCgroup_Low</t>
        </is>
      </c>
      <c r="B4" t="n">
        <v>0.646</v>
      </c>
      <c r="C4" t="inlineStr">
        <is>
          <t>0.004</t>
        </is>
      </c>
    </row>
    <row r="5">
      <c r="A5" t="inlineStr">
        <is>
          <t>gender_MALE</t>
        </is>
      </c>
      <c r="B5" t="n">
        <v>1.235</v>
      </c>
      <c r="C5" t="inlineStr">
        <is>
          <t>0.236</t>
        </is>
      </c>
    </row>
    <row r="6">
      <c r="A6" t="inlineStr">
        <is>
          <t>pathologic_stage_2.0</t>
        </is>
      </c>
      <c r="B6" t="n">
        <v>1.007</v>
      </c>
      <c r="C6" t="inlineStr">
        <is>
          <t>0.970</t>
        </is>
      </c>
    </row>
    <row r="7">
      <c r="A7" t="inlineStr">
        <is>
          <t>pathologic_stage_3.0</t>
        </is>
      </c>
      <c r="B7" t="n">
        <v>1.312</v>
      </c>
      <c r="C7" t="inlineStr">
        <is>
          <t>0.179</t>
        </is>
      </c>
    </row>
    <row r="8">
      <c r="A8" t="inlineStr">
        <is>
          <t>pathologic_stage_4.0</t>
        </is>
      </c>
      <c r="B8" t="n">
        <v>2.979</v>
      </c>
      <c r="C8" t="inlineStr">
        <is>
          <t>0.020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>
        <f>== [ Model: Pathologic Stage ] ===</f>
        <v/>
      </c>
      <c r="B2" t="inlineStr"/>
      <c r="C2" t="inlineStr"/>
      <c r="D2" t="inlineStr"/>
      <c r="E2" t="inlineStr"/>
    </row>
    <row r="3">
      <c r="A3" t="inlineStr">
        <is>
          <t>Dependent Variable (Y)</t>
        </is>
      </c>
      <c r="B3" t="inlineStr">
        <is>
          <t>VEGFCexpression</t>
        </is>
      </c>
      <c r="C3" t="inlineStr"/>
      <c r="D3" t="inlineStr"/>
      <c r="E3" t="inlineStr"/>
    </row>
    <row r="4">
      <c r="A4" t="inlineStr">
        <is>
          <t>Model Formula</t>
        </is>
      </c>
      <c r="B4" t="inlineStr">
        <is>
          <t>VEGFCexpression ~ age + C(gender) + number_pack_years_smoked + C(pathologic_stage)</t>
        </is>
      </c>
      <c r="C4" t="inlineStr"/>
      <c r="D4" t="inlineStr"/>
      <c r="E4" t="inlineStr"/>
    </row>
    <row r="5">
      <c r="A5" t="inlineStr">
        <is>
          <t>R-squared</t>
        </is>
      </c>
      <c r="B5" t="inlineStr">
        <is>
          <t>0.0215</t>
        </is>
      </c>
      <c r="C5" t="inlineStr"/>
      <c r="D5" t="inlineStr"/>
      <c r="E5" t="inlineStr"/>
    </row>
    <row r="6">
      <c r="A6" t="inlineStr">
        <is>
          <t>Prob (F-statistic)</t>
        </is>
      </c>
      <c r="B6" t="inlineStr">
        <is>
          <t>1.8570e-01</t>
        </is>
      </c>
      <c r="C6" t="inlineStr"/>
      <c r="D6" t="inlineStr"/>
      <c r="E6" t="inlineStr"/>
    </row>
    <row r="7">
      <c r="A7" t="inlineStr">
        <is>
          <t>--- [ Coefficients ] ---</t>
        </is>
      </c>
      <c r="B7" t="inlineStr"/>
      <c r="C7" t="inlineStr"/>
      <c r="D7" t="inlineStr"/>
      <c r="E7" t="inlineStr"/>
    </row>
    <row r="8">
      <c r="A8" t="inlineStr">
        <is>
          <t>Intercept</t>
        </is>
      </c>
      <c r="B8" t="n">
        <v>87.80710000000001</v>
      </c>
      <c r="C8" t="n">
        <v>-55.5831</v>
      </c>
      <c r="D8" t="n">
        <v>231.1974</v>
      </c>
      <c r="E8" t="inlineStr">
        <is>
          <t>0.229</t>
        </is>
      </c>
    </row>
    <row r="9">
      <c r="A9" t="inlineStr">
        <is>
          <t>C(gender)[T.MALE]</t>
        </is>
      </c>
      <c r="B9" t="n">
        <v>1.4982</v>
      </c>
      <c r="C9" t="n">
        <v>-36.536</v>
      </c>
      <c r="D9" t="n">
        <v>39.5325</v>
      </c>
      <c r="E9" t="inlineStr">
        <is>
          <t>0.938</t>
        </is>
      </c>
    </row>
    <row r="10">
      <c r="A10" t="inlineStr">
        <is>
          <t>C(pathologic_stage)[T.2.0]</t>
        </is>
      </c>
      <c r="B10" t="n">
        <v>37.975</v>
      </c>
      <c r="C10" t="n">
        <v>0.2751</v>
      </c>
      <c r="D10" t="n">
        <v>75.675</v>
      </c>
      <c r="E10" t="inlineStr">
        <is>
          <t>0.048</t>
        </is>
      </c>
    </row>
    <row r="11">
      <c r="A11" t="inlineStr">
        <is>
          <t>C(pathologic_stage)[T.3.0]</t>
        </is>
      </c>
      <c r="B11" t="n">
        <v>58.9908</v>
      </c>
      <c r="C11" t="n">
        <v>11.9102</v>
      </c>
      <c r="D11" t="n">
        <v>106.0714</v>
      </c>
      <c r="E11" t="inlineStr">
        <is>
          <t>0.014</t>
        </is>
      </c>
    </row>
    <row r="12">
      <c r="A12" t="inlineStr">
        <is>
          <t>C(pathologic_stage)[T.4.0]</t>
        </is>
      </c>
      <c r="B12" t="n">
        <v>-5.0081</v>
      </c>
      <c r="C12" t="n">
        <v>-144.3887</v>
      </c>
      <c r="D12" t="n">
        <v>134.3725</v>
      </c>
      <c r="E12" t="inlineStr">
        <is>
          <t>0.944</t>
        </is>
      </c>
    </row>
    <row r="13">
      <c r="A13" t="inlineStr">
        <is>
          <t>age</t>
        </is>
      </c>
      <c r="B13" t="n">
        <v>0.6601</v>
      </c>
      <c r="C13" t="n">
        <v>-1.3596</v>
      </c>
      <c r="D13" t="n">
        <v>2.6798</v>
      </c>
      <c r="E13" t="inlineStr">
        <is>
          <t>0.521</t>
        </is>
      </c>
    </row>
    <row r="14">
      <c r="A14" t="inlineStr">
        <is>
          <t>number_pack_years_smoked</t>
        </is>
      </c>
      <c r="B14" t="n">
        <v>-0.2704</v>
      </c>
      <c r="C14" t="n">
        <v>-0.8048</v>
      </c>
      <c r="D14" t="n">
        <v>0.264</v>
      </c>
      <c r="E14" t="inlineStr">
        <is>
          <t>0.320</t>
        </is>
      </c>
    </row>
    <row r="15">
      <c r="A15" t="inlineStr"/>
      <c r="B15" t="inlineStr"/>
      <c r="C15" t="inlineStr"/>
      <c r="D15" t="inlineStr"/>
      <c r="E15" t="inlineStr"/>
    </row>
    <row r="16">
      <c r="A16">
        <f>== [ Model: Pathologic T ] ===</f>
        <v/>
      </c>
      <c r="B16" t="inlineStr"/>
      <c r="C16" t="inlineStr"/>
      <c r="D16" t="inlineStr"/>
      <c r="E16" t="inlineStr"/>
    </row>
    <row r="17">
      <c r="A17" t="inlineStr">
        <is>
          <t>Dependent Variable (Y)</t>
        </is>
      </c>
      <c r="B17" t="inlineStr">
        <is>
          <t>VEGFCexpression</t>
        </is>
      </c>
      <c r="C17" t="inlineStr"/>
      <c r="D17" t="inlineStr"/>
      <c r="E17" t="inlineStr"/>
    </row>
    <row r="18">
      <c r="A18" t="inlineStr">
        <is>
          <t>Model Formula</t>
        </is>
      </c>
      <c r="B18" t="inlineStr">
        <is>
          <t>VEGFCexpression ~ age + C(gender) + number_pack_years_smoked + C(pathologic_T)</t>
        </is>
      </c>
      <c r="C18" t="inlineStr"/>
      <c r="D18" t="inlineStr"/>
      <c r="E18" t="inlineStr"/>
    </row>
    <row r="19">
      <c r="A19" t="inlineStr">
        <is>
          <t>R-squared</t>
        </is>
      </c>
      <c r="B19" t="inlineStr">
        <is>
          <t>0.0135</t>
        </is>
      </c>
      <c r="C19" t="inlineStr"/>
      <c r="D19" t="inlineStr"/>
      <c r="E19" t="inlineStr"/>
    </row>
    <row r="20">
      <c r="A20" t="inlineStr">
        <is>
          <t>Prob (F-statistic)</t>
        </is>
      </c>
      <c r="B20" t="inlineStr">
        <is>
          <t>4.7607e-01</t>
        </is>
      </c>
      <c r="C20" t="inlineStr"/>
      <c r="D20" t="inlineStr"/>
      <c r="E20" t="inlineStr"/>
    </row>
    <row r="21">
      <c r="A21" t="inlineStr">
        <is>
          <t>--- [ Coefficients ] ---</t>
        </is>
      </c>
      <c r="B21" t="inlineStr"/>
      <c r="C21" t="inlineStr"/>
      <c r="D21" t="inlineStr"/>
      <c r="E21" t="inlineStr"/>
    </row>
    <row r="22">
      <c r="A22" t="inlineStr">
        <is>
          <t>Intercept</t>
        </is>
      </c>
      <c r="B22" t="n">
        <v>104.1055</v>
      </c>
      <c r="C22" t="n">
        <v>-38.3313</v>
      </c>
      <c r="D22" t="n">
        <v>246.5422</v>
      </c>
      <c r="E22" t="inlineStr">
        <is>
          <t>0.152</t>
        </is>
      </c>
    </row>
    <row r="23">
      <c r="A23" t="inlineStr">
        <is>
          <t>C(gender)[T.MALE]</t>
        </is>
      </c>
      <c r="B23" t="n">
        <v>-1.5963</v>
      </c>
      <c r="C23" t="n">
        <v>-39.9523</v>
      </c>
      <c r="D23" t="n">
        <v>36.7597</v>
      </c>
      <c r="E23" t="inlineStr">
        <is>
          <t>0.935</t>
        </is>
      </c>
    </row>
    <row r="24">
      <c r="A24" t="inlineStr">
        <is>
          <t>C(pathologic_T)[T.2.0]</t>
        </is>
      </c>
      <c r="B24" t="n">
        <v>30.2315</v>
      </c>
      <c r="C24" t="n">
        <v>-10.8443</v>
      </c>
      <c r="D24" t="n">
        <v>71.3074</v>
      </c>
      <c r="E24" t="inlineStr">
        <is>
          <t>0.149</t>
        </is>
      </c>
    </row>
    <row r="25">
      <c r="A25" t="inlineStr">
        <is>
          <t>C(pathologic_T)[T.3.0]</t>
        </is>
      </c>
      <c r="B25" t="n">
        <v>60.9534</v>
      </c>
      <c r="C25" t="n">
        <v>3.2414</v>
      </c>
      <c r="D25" t="n">
        <v>118.6654</v>
      </c>
      <c r="E25" t="inlineStr">
        <is>
          <t>0.039</t>
        </is>
      </c>
    </row>
    <row r="26">
      <c r="A26" t="inlineStr">
        <is>
          <t>C(pathologic_T)[T.4.0]</t>
        </is>
      </c>
      <c r="B26" t="n">
        <v>39.6453</v>
      </c>
      <c r="C26" t="n">
        <v>-49.2024</v>
      </c>
      <c r="D26" t="n">
        <v>128.493</v>
      </c>
      <c r="E26" t="inlineStr">
        <is>
          <t>0.381</t>
        </is>
      </c>
    </row>
    <row r="27">
      <c r="A27" t="inlineStr">
        <is>
          <t>age</t>
        </is>
      </c>
      <c r="B27" t="n">
        <v>0.3271</v>
      </c>
      <c r="C27" t="n">
        <v>-1.6793</v>
      </c>
      <c r="D27" t="n">
        <v>2.3336</v>
      </c>
      <c r="E27" t="inlineStr">
        <is>
          <t>0.749</t>
        </is>
      </c>
    </row>
    <row r="28">
      <c r="A28" t="inlineStr">
        <is>
          <t>number_pack_years_smoked</t>
        </is>
      </c>
      <c r="B28" t="n">
        <v>-0.2334</v>
      </c>
      <c r="C28" t="n">
        <v>-0.7677</v>
      </c>
      <c r="D28" t="n">
        <v>0.3008</v>
      </c>
      <c r="E28" t="inlineStr">
        <is>
          <t>0.391</t>
        </is>
      </c>
    </row>
    <row r="29">
      <c r="A29" t="inlineStr"/>
      <c r="B29" t="inlineStr"/>
      <c r="C29" t="inlineStr"/>
      <c r="D29" t="inlineStr"/>
      <c r="E29" t="inlineStr"/>
    </row>
    <row r="30">
      <c r="A30">
        <f>== [ Model: Pathologic N ] ===</f>
        <v/>
      </c>
      <c r="B30" t="inlineStr"/>
      <c r="C30" t="inlineStr"/>
      <c r="D30" t="inlineStr"/>
      <c r="E30" t="inlineStr"/>
    </row>
    <row r="31">
      <c r="A31" t="inlineStr">
        <is>
          <t>Dependent Variable (Y)</t>
        </is>
      </c>
      <c r="B31" t="inlineStr">
        <is>
          <t>VEGFCexpression</t>
        </is>
      </c>
      <c r="C31" t="inlineStr"/>
      <c r="D31" t="inlineStr"/>
      <c r="E31" t="inlineStr"/>
    </row>
    <row r="32">
      <c r="A32" t="inlineStr">
        <is>
          <t>Model Formula</t>
        </is>
      </c>
      <c r="B32" t="inlineStr">
        <is>
          <t>VEGFCexpression ~ age + C(gender) + number_pack_years_smoked + C(pathologic_N)</t>
        </is>
      </c>
      <c r="C32" t="inlineStr"/>
      <c r="D32" t="inlineStr"/>
      <c r="E32" t="inlineStr"/>
    </row>
    <row r="33">
      <c r="A33" t="inlineStr">
        <is>
          <t>R-squared</t>
        </is>
      </c>
      <c r="B33" t="inlineStr">
        <is>
          <t>0.0205</t>
        </is>
      </c>
      <c r="C33" t="inlineStr"/>
      <c r="D33" t="inlineStr"/>
      <c r="E33" t="inlineStr"/>
    </row>
    <row r="34">
      <c r="A34" t="inlineStr">
        <is>
          <t>Prob (F-statistic)</t>
        </is>
      </c>
      <c r="B34" t="inlineStr">
        <is>
          <t>2.1359e-01</t>
        </is>
      </c>
      <c r="C34" t="inlineStr"/>
      <c r="D34" t="inlineStr"/>
      <c r="E34" t="inlineStr"/>
    </row>
    <row r="35">
      <c r="A35" t="inlineStr">
        <is>
          <t>--- [ Coefficients ] ---</t>
        </is>
      </c>
      <c r="B35" t="inlineStr"/>
      <c r="C35" t="inlineStr"/>
      <c r="D35" t="inlineStr"/>
      <c r="E35" t="inlineStr"/>
    </row>
    <row r="36">
      <c r="A36" t="inlineStr">
        <is>
          <t>Intercept</t>
        </is>
      </c>
      <c r="B36" t="n">
        <v>103.6335</v>
      </c>
      <c r="C36" t="n">
        <v>-41.2204</v>
      </c>
      <c r="D36" t="n">
        <v>248.4874</v>
      </c>
      <c r="E36" t="inlineStr">
        <is>
          <t>0.160</t>
        </is>
      </c>
    </row>
    <row r="37">
      <c r="A37" t="inlineStr">
        <is>
          <t>C(gender)[T.MALE]</t>
        </is>
      </c>
      <c r="B37" t="n">
        <v>1.1539</v>
      </c>
      <c r="C37" t="n">
        <v>-36.8639</v>
      </c>
      <c r="D37" t="n">
        <v>39.1718</v>
      </c>
      <c r="E37" t="inlineStr">
        <is>
          <t>0.952</t>
        </is>
      </c>
    </row>
    <row r="38">
      <c r="A38" t="inlineStr">
        <is>
          <t>C(pathologic_N)[T.1.0]</t>
        </is>
      </c>
      <c r="B38" t="n">
        <v>50.6969</v>
      </c>
      <c r="C38" t="n">
        <v>12.0682</v>
      </c>
      <c r="D38" t="n">
        <v>89.32559999999999</v>
      </c>
      <c r="E38" t="inlineStr">
        <is>
          <t>0.010</t>
        </is>
      </c>
    </row>
    <row r="39">
      <c r="A39" t="inlineStr">
        <is>
          <t>C(pathologic_N)[T.2.0]</t>
        </is>
      </c>
      <c r="B39" t="n">
        <v>31.0882</v>
      </c>
      <c r="C39" t="n">
        <v>-31.3901</v>
      </c>
      <c r="D39" t="n">
        <v>93.5665</v>
      </c>
      <c r="E39" t="inlineStr">
        <is>
          <t>0.329</t>
        </is>
      </c>
    </row>
    <row r="40">
      <c r="A40" t="inlineStr">
        <is>
          <t>C(pathologic_N)[T.3.0]</t>
        </is>
      </c>
      <c r="B40" t="n">
        <v>-38.3377</v>
      </c>
      <c r="C40" t="n">
        <v>-190.06</v>
      </c>
      <c r="D40" t="n">
        <v>113.3846</v>
      </c>
      <c r="E40" t="inlineStr">
        <is>
          <t>0.620</t>
        </is>
      </c>
    </row>
    <row r="41">
      <c r="A41" t="inlineStr">
        <is>
          <t>age</t>
        </is>
      </c>
      <c r="B41" t="n">
        <v>0.5026</v>
      </c>
      <c r="C41" t="n">
        <v>-1.5472</v>
      </c>
      <c r="D41" t="n">
        <v>2.5523</v>
      </c>
      <c r="E41" t="inlineStr">
        <is>
          <t>0.630</t>
        </is>
      </c>
    </row>
    <row r="42">
      <c r="A42" t="inlineStr">
        <is>
          <t>number_pack_years_smoked</t>
        </is>
      </c>
      <c r="B42" t="n">
        <v>-0.2595</v>
      </c>
      <c r="C42" t="n">
        <v>-0.7952</v>
      </c>
      <c r="D42" t="n">
        <v>0.2762</v>
      </c>
      <c r="E42" t="inlineStr">
        <is>
          <t>0.342</t>
        </is>
      </c>
    </row>
    <row r="43">
      <c r="A43" t="inlineStr"/>
      <c r="B43" t="inlineStr"/>
      <c r="C43" t="inlineStr"/>
      <c r="D43" t="inlineStr"/>
      <c r="E43" t="inlineStr"/>
    </row>
    <row r="44">
      <c r="A44">
        <f>== [ Model: Pathologic M ] ===</f>
        <v/>
      </c>
      <c r="B44" t="inlineStr"/>
      <c r="C44" t="inlineStr"/>
      <c r="D44" t="inlineStr"/>
      <c r="E44" t="inlineStr"/>
    </row>
    <row r="45">
      <c r="A45" t="inlineStr">
        <is>
          <t>Dependent Variable (Y)</t>
        </is>
      </c>
      <c r="B45" t="inlineStr">
        <is>
          <t>VEGFCexpression</t>
        </is>
      </c>
      <c r="C45" t="inlineStr"/>
      <c r="D45" t="inlineStr"/>
      <c r="E45" t="inlineStr"/>
    </row>
    <row r="46">
      <c r="A46" t="inlineStr">
        <is>
          <t>Model Formula</t>
        </is>
      </c>
      <c r="B46" t="inlineStr">
        <is>
          <t>VEGFCexpression ~ age + C(gender) + number_pack_years_smoked + C(pathologic_M)</t>
        </is>
      </c>
      <c r="C46" t="inlineStr"/>
      <c r="D46" t="inlineStr"/>
      <c r="E46" t="inlineStr"/>
    </row>
    <row r="47">
      <c r="A47" t="inlineStr">
        <is>
          <t>R-squared</t>
        </is>
      </c>
      <c r="B47" t="inlineStr">
        <is>
          <t>0.0041</t>
        </is>
      </c>
      <c r="C47" t="inlineStr"/>
      <c r="D47" t="inlineStr"/>
      <c r="E47" t="inlineStr"/>
    </row>
    <row r="48">
      <c r="A48" t="inlineStr">
        <is>
          <t>Prob (F-statistic)</t>
        </is>
      </c>
      <c r="B48" t="inlineStr">
        <is>
          <t>8.4235e-01</t>
        </is>
      </c>
      <c r="C48" t="inlineStr"/>
      <c r="D48" t="inlineStr"/>
      <c r="E48" t="inlineStr"/>
    </row>
    <row r="49">
      <c r="A49" t="inlineStr">
        <is>
          <t>--- [ Coefficients ] ---</t>
        </is>
      </c>
      <c r="B49" t="inlineStr"/>
      <c r="C49" t="inlineStr"/>
      <c r="D49" t="inlineStr"/>
      <c r="E49" t="inlineStr"/>
    </row>
    <row r="50">
      <c r="A50" t="inlineStr">
        <is>
          <t>Intercept</t>
        </is>
      </c>
      <c r="B50" t="n">
        <v>60.0368</v>
      </c>
      <c r="C50" t="n">
        <v>-86.9041</v>
      </c>
      <c r="D50" t="n">
        <v>206.9778</v>
      </c>
      <c r="E50" t="inlineStr">
        <is>
          <t>0.422</t>
        </is>
      </c>
    </row>
    <row r="51">
      <c r="A51" t="inlineStr">
        <is>
          <t>C(gender)[T.MALE]</t>
        </is>
      </c>
      <c r="B51" t="n">
        <v>13.4712</v>
      </c>
      <c r="C51" t="n">
        <v>-25.5203</v>
      </c>
      <c r="D51" t="n">
        <v>52.4628</v>
      </c>
      <c r="E51" t="inlineStr">
        <is>
          <t>0.497</t>
        </is>
      </c>
    </row>
    <row r="52">
      <c r="A52" t="inlineStr">
        <is>
          <t>C(pathologic_M)[T.1.0]</t>
        </is>
      </c>
      <c r="B52" t="n">
        <v>-22.2704</v>
      </c>
      <c r="C52" t="n">
        <v>-151.7584</v>
      </c>
      <c r="D52" t="n">
        <v>107.2176</v>
      </c>
      <c r="E52" t="inlineStr">
        <is>
          <t>0.735</t>
        </is>
      </c>
    </row>
    <row r="53">
      <c r="A53" t="inlineStr">
        <is>
          <t>age</t>
        </is>
      </c>
      <c r="B53" t="n">
        <v>1.0236</v>
      </c>
      <c r="C53" t="n">
        <v>-1.0645</v>
      </c>
      <c r="D53" t="n">
        <v>3.1116</v>
      </c>
      <c r="E53" t="inlineStr">
        <is>
          <t>0.336</t>
        </is>
      </c>
    </row>
    <row r="54">
      <c r="A54" t="inlineStr">
        <is>
          <t>number_pack_years_smoked</t>
        </is>
      </c>
      <c r="B54" t="n">
        <v>-0.0925</v>
      </c>
      <c r="C54" t="n">
        <v>-0.6414</v>
      </c>
      <c r="D54" t="n">
        <v>0.4564</v>
      </c>
      <c r="E54" t="inlineStr">
        <is>
          <t>0.740</t>
        </is>
      </c>
    </row>
    <row r="55">
      <c r="A55" t="inlineStr"/>
      <c r="B55" t="inlineStr"/>
      <c r="C55" t="inlineStr"/>
      <c r="D55" t="inlineStr"/>
      <c r="E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2026-06-22T17:46:45Z</dcterms:created>
  <dcterms:modified xsi:type="dcterms:W3CDTF">2026-06-22T17:46:45Z</dcterms:modified>
</cp:coreProperties>
</file>